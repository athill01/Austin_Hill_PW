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ustinhill/Documents/Assessments/"/>
    </mc:Choice>
  </mc:AlternateContent>
  <xr:revisionPtr revIDLastSave="0" documentId="13_ncr:1_{94121AE5-BBFF-1F46-878A-BB6583F9F7EE}" xr6:coauthVersionLast="47" xr6:coauthVersionMax="47" xr10:uidLastSave="{00000000-0000-0000-0000-000000000000}"/>
  <bookViews>
    <workbookView xWindow="0" yWindow="720" windowWidth="29400" windowHeight="18400" firstSheet="1" activeTab="3" xr2:uid="{00000000-000D-0000-FFFF-FFFF00000000}"/>
  </bookViews>
  <sheets>
    <sheet name="Trend Analysis" sheetId="4" r:id="rId1"/>
    <sheet name="Cohort Analysis" sheetId="5" r:id="rId2"/>
    <sheet name="Tier Movement" sheetId="6" r:id="rId3"/>
    <sheet name="Sheet6" sheetId="7" r:id="rId4"/>
    <sheet name="Historical_Master_Data" sheetId="1" r:id="rId5"/>
  </sheets>
  <definedNames>
    <definedName name="Slicer_Grade">#N/A</definedName>
    <definedName name="Slicer_Sub_Skill_Measur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7" l="1"/>
  <c r="B6" i="7" s="1"/>
  <c r="B7" i="7" s="1"/>
  <c r="B8" i="7" s="1"/>
  <c r="C8" i="7" s="1"/>
  <c r="Q133" i="1"/>
  <c r="R133" i="1"/>
  <c r="S133" i="1"/>
  <c r="Q143" i="1"/>
  <c r="R143" i="1"/>
  <c r="S143" i="1"/>
  <c r="Q138" i="1"/>
  <c r="R138" i="1"/>
  <c r="S138" i="1"/>
  <c r="Q128" i="1"/>
  <c r="R128" i="1"/>
  <c r="S128" i="1"/>
  <c r="T128" i="1" s="1"/>
  <c r="Q148" i="1"/>
  <c r="R148" i="1"/>
  <c r="S148" i="1"/>
  <c r="Q2" i="1"/>
  <c r="R2" i="1"/>
  <c r="S2" i="1"/>
  <c r="Q12" i="1"/>
  <c r="R12" i="1"/>
  <c r="S12" i="1"/>
  <c r="Q22" i="1"/>
  <c r="R22" i="1"/>
  <c r="S22" i="1"/>
  <c r="Q17" i="1"/>
  <c r="R17" i="1"/>
  <c r="S17" i="1"/>
  <c r="Q7" i="1"/>
  <c r="R7" i="1"/>
  <c r="S7" i="1"/>
  <c r="Q40" i="1"/>
  <c r="R40" i="1"/>
  <c r="S40" i="1"/>
  <c r="Q27" i="1"/>
  <c r="R27" i="1"/>
  <c r="S27" i="1"/>
  <c r="T27" i="1" s="1"/>
  <c r="Q32" i="1"/>
  <c r="R32" i="1"/>
  <c r="S32" i="1"/>
  <c r="Q47" i="1"/>
  <c r="R47" i="1"/>
  <c r="S47" i="1"/>
  <c r="Q57" i="1"/>
  <c r="R57" i="1"/>
  <c r="S57" i="1"/>
  <c r="Q52" i="1"/>
  <c r="R52" i="1"/>
  <c r="S52" i="1"/>
  <c r="Q72" i="1"/>
  <c r="R72" i="1"/>
  <c r="S72" i="1"/>
  <c r="Q62" i="1"/>
  <c r="R62" i="1"/>
  <c r="S62" i="1"/>
  <c r="Q67" i="1"/>
  <c r="R67" i="1"/>
  <c r="S67" i="1"/>
  <c r="Q42" i="1"/>
  <c r="R42" i="1"/>
  <c r="S42" i="1"/>
  <c r="T42" i="1" s="1"/>
  <c r="Q82" i="1"/>
  <c r="R82" i="1"/>
  <c r="S82" i="1"/>
  <c r="Q92" i="1"/>
  <c r="R92" i="1"/>
  <c r="S92" i="1"/>
  <c r="Q87" i="1"/>
  <c r="R87" i="1"/>
  <c r="S87" i="1"/>
  <c r="Q107" i="1"/>
  <c r="R107" i="1"/>
  <c r="S107" i="1"/>
  <c r="Q97" i="1"/>
  <c r="R97" i="1"/>
  <c r="S97" i="1"/>
  <c r="T97" i="1" s="1"/>
  <c r="Q102" i="1"/>
  <c r="R102" i="1"/>
  <c r="S102" i="1"/>
  <c r="Q77" i="1"/>
  <c r="R77" i="1"/>
  <c r="S77" i="1"/>
  <c r="Q124" i="1"/>
  <c r="R124" i="1"/>
  <c r="S124" i="1"/>
  <c r="Q129" i="1"/>
  <c r="R129" i="1"/>
  <c r="S129" i="1"/>
  <c r="Q134" i="1"/>
  <c r="R134" i="1"/>
  <c r="S134" i="1"/>
  <c r="Q139" i="1"/>
  <c r="R139" i="1"/>
  <c r="S139" i="1"/>
  <c r="Q144" i="1"/>
  <c r="R144" i="1"/>
  <c r="S144" i="1"/>
  <c r="Q149" i="1"/>
  <c r="R149" i="1"/>
  <c r="S149" i="1"/>
  <c r="T149" i="1" s="1"/>
  <c r="Q3" i="1"/>
  <c r="R3" i="1"/>
  <c r="S3" i="1"/>
  <c r="Q8" i="1"/>
  <c r="R8" i="1"/>
  <c r="S8" i="1"/>
  <c r="Q13" i="1"/>
  <c r="R13" i="1"/>
  <c r="S13" i="1"/>
  <c r="Q18" i="1"/>
  <c r="R18" i="1"/>
  <c r="S18" i="1"/>
  <c r="Q23" i="1"/>
  <c r="R23" i="1"/>
  <c r="S23" i="1"/>
  <c r="Q28" i="1"/>
  <c r="R28" i="1"/>
  <c r="S28" i="1"/>
  <c r="Q33" i="1"/>
  <c r="R33" i="1"/>
  <c r="S33" i="1"/>
  <c r="Q37" i="1"/>
  <c r="R37" i="1"/>
  <c r="S37" i="1"/>
  <c r="T37" i="1" s="1"/>
  <c r="Q43" i="1"/>
  <c r="R43" i="1"/>
  <c r="S43" i="1"/>
  <c r="Q48" i="1"/>
  <c r="R48" i="1"/>
  <c r="S48" i="1"/>
  <c r="Q53" i="1"/>
  <c r="R53" i="1"/>
  <c r="S53" i="1"/>
  <c r="Q58" i="1"/>
  <c r="R58" i="1"/>
  <c r="S58" i="1"/>
  <c r="Q63" i="1"/>
  <c r="R63" i="1"/>
  <c r="S63" i="1"/>
  <c r="Q68" i="1"/>
  <c r="R68" i="1"/>
  <c r="S68" i="1"/>
  <c r="Q73" i="1"/>
  <c r="R73" i="1"/>
  <c r="S73" i="1"/>
  <c r="Q78" i="1"/>
  <c r="R78" i="1"/>
  <c r="S78" i="1"/>
  <c r="T78" i="1" s="1"/>
  <c r="Q83" i="1"/>
  <c r="R83" i="1"/>
  <c r="S83" i="1"/>
  <c r="Q88" i="1"/>
  <c r="R88" i="1"/>
  <c r="S88" i="1"/>
  <c r="Q93" i="1"/>
  <c r="R93" i="1"/>
  <c r="S93" i="1"/>
  <c r="Q98" i="1"/>
  <c r="R98" i="1"/>
  <c r="S98" i="1"/>
  <c r="Q103" i="1"/>
  <c r="R103" i="1"/>
  <c r="S103" i="1"/>
  <c r="Q108" i="1"/>
  <c r="R108" i="1"/>
  <c r="S108" i="1"/>
  <c r="Q125" i="1"/>
  <c r="R125" i="1"/>
  <c r="S125" i="1"/>
  <c r="Q130" i="1"/>
  <c r="R130" i="1"/>
  <c r="S130" i="1"/>
  <c r="T130" i="1" s="1"/>
  <c r="Q135" i="1"/>
  <c r="R135" i="1"/>
  <c r="S135" i="1"/>
  <c r="Q140" i="1"/>
  <c r="R140" i="1"/>
  <c r="S140" i="1"/>
  <c r="Q145" i="1"/>
  <c r="R145" i="1"/>
  <c r="S145" i="1"/>
  <c r="T145" i="1" s="1"/>
  <c r="Q150" i="1"/>
  <c r="R150" i="1"/>
  <c r="S150" i="1"/>
  <c r="Q4" i="1"/>
  <c r="R4" i="1"/>
  <c r="S4" i="1"/>
  <c r="Q9" i="1"/>
  <c r="R9" i="1"/>
  <c r="S9" i="1"/>
  <c r="Q14" i="1"/>
  <c r="R14" i="1"/>
  <c r="S14" i="1"/>
  <c r="Q19" i="1"/>
  <c r="R19" i="1"/>
  <c r="S19" i="1"/>
  <c r="T19" i="1" s="1"/>
  <c r="Q24" i="1"/>
  <c r="R24" i="1"/>
  <c r="S24" i="1"/>
  <c r="Q29" i="1"/>
  <c r="R29" i="1"/>
  <c r="S29" i="1"/>
  <c r="Q34" i="1"/>
  <c r="R34" i="1"/>
  <c r="S34" i="1"/>
  <c r="T34" i="1" s="1"/>
  <c r="Q41" i="1"/>
  <c r="R41" i="1"/>
  <c r="S41" i="1"/>
  <c r="Q44" i="1"/>
  <c r="R44" i="1"/>
  <c r="S44" i="1"/>
  <c r="Q49" i="1"/>
  <c r="R49" i="1"/>
  <c r="S49" i="1"/>
  <c r="Q54" i="1"/>
  <c r="R54" i="1"/>
  <c r="S54" i="1"/>
  <c r="Q59" i="1"/>
  <c r="R59" i="1"/>
  <c r="S59" i="1"/>
  <c r="T59" i="1" s="1"/>
  <c r="Q64" i="1"/>
  <c r="R64" i="1"/>
  <c r="S64" i="1"/>
  <c r="Q69" i="1"/>
  <c r="R69" i="1"/>
  <c r="S69" i="1"/>
  <c r="Q74" i="1"/>
  <c r="R74" i="1"/>
  <c r="S74" i="1"/>
  <c r="T74" i="1" s="1"/>
  <c r="Q79" i="1"/>
  <c r="R79" i="1"/>
  <c r="S79" i="1"/>
  <c r="Q84" i="1"/>
  <c r="R84" i="1"/>
  <c r="S84" i="1"/>
  <c r="Q89" i="1"/>
  <c r="R89" i="1"/>
  <c r="S89" i="1"/>
  <c r="Q94" i="1"/>
  <c r="R94" i="1"/>
  <c r="S94" i="1"/>
  <c r="Q99" i="1"/>
  <c r="R99" i="1"/>
  <c r="S99" i="1"/>
  <c r="T99" i="1" s="1"/>
  <c r="Q104" i="1"/>
  <c r="R104" i="1"/>
  <c r="S104" i="1"/>
  <c r="Q109" i="1"/>
  <c r="R109" i="1"/>
  <c r="S109" i="1"/>
  <c r="Q126" i="1"/>
  <c r="R126" i="1"/>
  <c r="S126" i="1"/>
  <c r="T126" i="1" s="1"/>
  <c r="Q131" i="1"/>
  <c r="R131" i="1"/>
  <c r="S131" i="1"/>
  <c r="Q136" i="1"/>
  <c r="R136" i="1"/>
  <c r="S136" i="1"/>
  <c r="Q141" i="1"/>
  <c r="R141" i="1"/>
  <c r="S141" i="1"/>
  <c r="Q146" i="1"/>
  <c r="R146" i="1"/>
  <c r="S146" i="1"/>
  <c r="Q151" i="1"/>
  <c r="R151" i="1"/>
  <c r="S151" i="1"/>
  <c r="T151" i="1" s="1"/>
  <c r="Q5" i="1"/>
  <c r="R5" i="1"/>
  <c r="S5" i="1"/>
  <c r="Q10" i="1"/>
  <c r="R10" i="1"/>
  <c r="S10" i="1"/>
  <c r="Q15" i="1"/>
  <c r="R15" i="1"/>
  <c r="S15" i="1"/>
  <c r="T15" i="1" s="1"/>
  <c r="Q20" i="1"/>
  <c r="R20" i="1"/>
  <c r="S20" i="1"/>
  <c r="Q25" i="1"/>
  <c r="R25" i="1"/>
  <c r="S25" i="1"/>
  <c r="Q30" i="1"/>
  <c r="R30" i="1"/>
  <c r="S30" i="1"/>
  <c r="Q35" i="1"/>
  <c r="R35" i="1"/>
  <c r="S35" i="1"/>
  <c r="Q38" i="1"/>
  <c r="R38" i="1"/>
  <c r="S38" i="1"/>
  <c r="T38" i="1" s="1"/>
  <c r="Q45" i="1"/>
  <c r="R45" i="1"/>
  <c r="S45" i="1"/>
  <c r="Q50" i="1"/>
  <c r="R50" i="1"/>
  <c r="S50" i="1"/>
  <c r="Q55" i="1"/>
  <c r="R55" i="1"/>
  <c r="S55" i="1"/>
  <c r="T55" i="1" s="1"/>
  <c r="Q60" i="1"/>
  <c r="R60" i="1"/>
  <c r="S60" i="1"/>
  <c r="Q65" i="1"/>
  <c r="R65" i="1"/>
  <c r="S65" i="1"/>
  <c r="Q70" i="1"/>
  <c r="R70" i="1"/>
  <c r="S70" i="1"/>
  <c r="Q75" i="1"/>
  <c r="R75" i="1"/>
  <c r="S75" i="1"/>
  <c r="Q80" i="1"/>
  <c r="R80" i="1"/>
  <c r="S80" i="1"/>
  <c r="T80" i="1" s="1"/>
  <c r="Q85" i="1"/>
  <c r="R85" i="1"/>
  <c r="S85" i="1"/>
  <c r="Q90" i="1"/>
  <c r="R90" i="1"/>
  <c r="S90" i="1"/>
  <c r="Q95" i="1"/>
  <c r="R95" i="1"/>
  <c r="S95" i="1"/>
  <c r="T95" i="1" s="1"/>
  <c r="Q100" i="1"/>
  <c r="R100" i="1"/>
  <c r="S100" i="1"/>
  <c r="Q105" i="1"/>
  <c r="R105" i="1"/>
  <c r="S105" i="1"/>
  <c r="Q110" i="1"/>
  <c r="R110" i="1"/>
  <c r="S110" i="1"/>
  <c r="Q127" i="1"/>
  <c r="R127" i="1"/>
  <c r="S127" i="1"/>
  <c r="Q132" i="1"/>
  <c r="R132" i="1"/>
  <c r="S132" i="1"/>
  <c r="T132" i="1" s="1"/>
  <c r="Q137" i="1"/>
  <c r="R137" i="1"/>
  <c r="S137" i="1"/>
  <c r="Q142" i="1"/>
  <c r="R142" i="1"/>
  <c r="S142" i="1"/>
  <c r="Q147" i="1"/>
  <c r="R147" i="1"/>
  <c r="S147" i="1"/>
  <c r="T147" i="1" s="1"/>
  <c r="Q152" i="1"/>
  <c r="R152" i="1"/>
  <c r="S152" i="1"/>
  <c r="Q6" i="1"/>
  <c r="R6" i="1"/>
  <c r="S6" i="1"/>
  <c r="Q11" i="1"/>
  <c r="R11" i="1"/>
  <c r="S11" i="1"/>
  <c r="Q16" i="1"/>
  <c r="R16" i="1"/>
  <c r="S16" i="1"/>
  <c r="Q21" i="1"/>
  <c r="R21" i="1"/>
  <c r="S21" i="1"/>
  <c r="Q26" i="1"/>
  <c r="R26" i="1"/>
  <c r="S26" i="1"/>
  <c r="Q31" i="1"/>
  <c r="R31" i="1"/>
  <c r="S31" i="1"/>
  <c r="Q36" i="1"/>
  <c r="R36" i="1"/>
  <c r="S36" i="1"/>
  <c r="T36" i="1" s="1"/>
  <c r="Q39" i="1"/>
  <c r="R39" i="1"/>
  <c r="S39" i="1"/>
  <c r="Q46" i="1"/>
  <c r="R46" i="1"/>
  <c r="S46" i="1"/>
  <c r="Q51" i="1"/>
  <c r="R51" i="1"/>
  <c r="S51" i="1"/>
  <c r="Q56" i="1"/>
  <c r="R56" i="1"/>
  <c r="S56" i="1"/>
  <c r="Q61" i="1"/>
  <c r="R61" i="1"/>
  <c r="S61" i="1"/>
  <c r="Q66" i="1"/>
  <c r="R66" i="1"/>
  <c r="S66" i="1"/>
  <c r="Q71" i="1"/>
  <c r="R71" i="1"/>
  <c r="S71" i="1"/>
  <c r="Q76" i="1"/>
  <c r="R76" i="1"/>
  <c r="S76" i="1"/>
  <c r="T76" i="1" s="1"/>
  <c r="Q81" i="1"/>
  <c r="R81" i="1"/>
  <c r="S81" i="1"/>
  <c r="Q86" i="1"/>
  <c r="R86" i="1"/>
  <c r="S86" i="1"/>
  <c r="Q91" i="1"/>
  <c r="R91" i="1"/>
  <c r="S91" i="1"/>
  <c r="Q96" i="1"/>
  <c r="R96" i="1"/>
  <c r="S96" i="1"/>
  <c r="Q101" i="1"/>
  <c r="R101" i="1"/>
  <c r="S101" i="1"/>
  <c r="Q106" i="1"/>
  <c r="R106" i="1"/>
  <c r="S106" i="1"/>
  <c r="Q111" i="1"/>
  <c r="R111" i="1"/>
  <c r="S111" i="1"/>
  <c r="Q112" i="1"/>
  <c r="R112" i="1"/>
  <c r="S112" i="1"/>
  <c r="T112" i="1" s="1"/>
  <c r="Q113" i="1"/>
  <c r="R113" i="1"/>
  <c r="S113" i="1"/>
  <c r="Q114" i="1"/>
  <c r="R114" i="1"/>
  <c r="S114" i="1"/>
  <c r="Q115" i="1"/>
  <c r="R115" i="1"/>
  <c r="S115" i="1"/>
  <c r="Q116" i="1"/>
  <c r="R116" i="1"/>
  <c r="S116" i="1"/>
  <c r="Q117" i="1"/>
  <c r="R117" i="1"/>
  <c r="S117" i="1"/>
  <c r="T117" i="1" s="1"/>
  <c r="Q118" i="1"/>
  <c r="R118" i="1"/>
  <c r="S118" i="1"/>
  <c r="Q119" i="1"/>
  <c r="R119" i="1"/>
  <c r="S119" i="1"/>
  <c r="Q120" i="1"/>
  <c r="R120" i="1"/>
  <c r="S120" i="1"/>
  <c r="T120" i="1" s="1"/>
  <c r="Q121" i="1"/>
  <c r="R121" i="1"/>
  <c r="S121" i="1"/>
  <c r="Q122" i="1"/>
  <c r="R122" i="1"/>
  <c r="S122" i="1"/>
  <c r="S123" i="1"/>
  <c r="R123" i="1"/>
  <c r="Q123" i="1"/>
  <c r="T12" i="1" l="1"/>
  <c r="T93" i="1"/>
  <c r="T53" i="1"/>
  <c r="T13" i="1"/>
  <c r="T124" i="1"/>
  <c r="B9" i="7"/>
  <c r="C5" i="7"/>
  <c r="C7" i="7"/>
  <c r="C6" i="7"/>
  <c r="T101" i="1"/>
  <c r="T21" i="1"/>
  <c r="T72" i="1"/>
  <c r="T133" i="1"/>
  <c r="T61" i="1"/>
  <c r="T116" i="1"/>
  <c r="T96" i="1"/>
  <c r="T56" i="1"/>
  <c r="T16" i="1"/>
  <c r="T127" i="1"/>
  <c r="T75" i="1"/>
  <c r="T35" i="1"/>
  <c r="T146" i="1"/>
  <c r="T94" i="1"/>
  <c r="T54" i="1"/>
  <c r="T14" i="1"/>
  <c r="T125" i="1"/>
  <c r="T73" i="1"/>
  <c r="T33" i="1"/>
  <c r="T144" i="1"/>
  <c r="T107" i="1"/>
  <c r="T52" i="1"/>
  <c r="T115" i="1"/>
  <c r="T91" i="1"/>
  <c r="T51" i="1"/>
  <c r="T11" i="1"/>
  <c r="T110" i="1"/>
  <c r="T70" i="1"/>
  <c r="T30" i="1"/>
  <c r="T141" i="1"/>
  <c r="T89" i="1"/>
  <c r="T49" i="1"/>
  <c r="T9" i="1"/>
  <c r="T108" i="1"/>
  <c r="T68" i="1"/>
  <c r="T28" i="1"/>
  <c r="T139" i="1"/>
  <c r="T87" i="1"/>
  <c r="T57" i="1"/>
  <c r="T17" i="1"/>
  <c r="T22" i="1"/>
  <c r="T121" i="1"/>
  <c r="T113" i="1"/>
  <c r="T81" i="1"/>
  <c r="T39" i="1"/>
  <c r="T152" i="1"/>
  <c r="T100" i="1"/>
  <c r="T60" i="1"/>
  <c r="T20" i="1"/>
  <c r="T131" i="1"/>
  <c r="T79" i="1"/>
  <c r="T41" i="1"/>
  <c r="T150" i="1"/>
  <c r="T98" i="1"/>
  <c r="T58" i="1"/>
  <c r="T18" i="1"/>
  <c r="T129" i="1"/>
  <c r="T82" i="1"/>
  <c r="T32" i="1"/>
  <c r="T148" i="1"/>
  <c r="T118" i="1"/>
  <c r="T106" i="1"/>
  <c r="T66" i="1"/>
  <c r="T26" i="1"/>
  <c r="T137" i="1"/>
  <c r="T85" i="1"/>
  <c r="T45" i="1"/>
  <c r="T5" i="1"/>
  <c r="T104" i="1"/>
  <c r="T64" i="1"/>
  <c r="T24" i="1"/>
  <c r="T135" i="1"/>
  <c r="T83" i="1"/>
  <c r="T43" i="1"/>
  <c r="T3" i="1"/>
  <c r="T102" i="1"/>
  <c r="T62" i="1"/>
  <c r="T7" i="1"/>
  <c r="T143" i="1"/>
  <c r="T122" i="1"/>
  <c r="T114" i="1"/>
  <c r="T86" i="1"/>
  <c r="T46" i="1"/>
  <c r="T6" i="1"/>
  <c r="T105" i="1"/>
  <c r="T65" i="1"/>
  <c r="T25" i="1"/>
  <c r="T136" i="1"/>
  <c r="T84" i="1"/>
  <c r="T44" i="1"/>
  <c r="T4" i="1"/>
  <c r="T103" i="1"/>
  <c r="T63" i="1"/>
  <c r="T23" i="1"/>
  <c r="T134" i="1"/>
  <c r="T92" i="1"/>
  <c r="T47" i="1"/>
  <c r="T2" i="1"/>
  <c r="T123" i="1"/>
  <c r="T119" i="1"/>
  <c r="T111" i="1"/>
  <c r="T71" i="1"/>
  <c r="T31" i="1"/>
  <c r="T142" i="1"/>
  <c r="T90" i="1"/>
  <c r="T50" i="1"/>
  <c r="T10" i="1"/>
  <c r="T109" i="1"/>
  <c r="T69" i="1"/>
  <c r="T29" i="1"/>
  <c r="T140" i="1"/>
  <c r="T88" i="1"/>
  <c r="T48" i="1"/>
  <c r="T8" i="1"/>
  <c r="T77" i="1"/>
  <c r="T67" i="1"/>
  <c r="T40" i="1"/>
  <c r="T138" i="1"/>
  <c r="B10" i="7" l="1"/>
  <c r="C10" i="7" s="1"/>
  <c r="C9" i="7"/>
</calcChain>
</file>

<file path=xl/sharedStrings.xml><?xml version="1.0" encoding="utf-8"?>
<sst xmlns="http://schemas.openxmlformats.org/spreadsheetml/2006/main" count="240" uniqueCount="47">
  <si>
    <t>Data_Year</t>
  </si>
  <si>
    <t>Grade</t>
  </si>
  <si>
    <t>Sub_Skill_Measure</t>
  </si>
  <si>
    <t>Total_Students_N</t>
  </si>
  <si>
    <t>BOY_Red</t>
  </si>
  <si>
    <t>BOY_Yellow</t>
  </si>
  <si>
    <t>BOY_Green</t>
  </si>
  <si>
    <t>BOY_Blue</t>
  </si>
  <si>
    <t>MOY_Red</t>
  </si>
  <si>
    <t>MOY_Yellow</t>
  </si>
  <si>
    <t>MOY_Green</t>
  </si>
  <si>
    <t>MOY_Blue</t>
  </si>
  <si>
    <t>EOY_Red</t>
  </si>
  <si>
    <t>EOY_Yellow</t>
  </si>
  <si>
    <t>EOY_Green</t>
  </si>
  <si>
    <t>EOY_Blue</t>
  </si>
  <si>
    <t>K</t>
  </si>
  <si>
    <t>Composite Score</t>
  </si>
  <si>
    <t>Phonemic Awareness (PSF)</t>
  </si>
  <si>
    <t>Word Reading (WRF)</t>
  </si>
  <si>
    <t>Letter Names (LNF)</t>
  </si>
  <si>
    <t>Letter Sounds (NWF-CLS)</t>
  </si>
  <si>
    <t>Decoding (NWF-WRC)</t>
  </si>
  <si>
    <t>Reading Accuracy (ORF-Accu)</t>
  </si>
  <si>
    <t>Reading Fluency (ORF)</t>
  </si>
  <si>
    <t>Basic Comprehension (Maze)</t>
  </si>
  <si>
    <t>BOY_Proficient</t>
  </si>
  <si>
    <t>MOY_Proficient</t>
  </si>
  <si>
    <t>EOY_Proficient</t>
  </si>
  <si>
    <t>In_Year_Growth</t>
  </si>
  <si>
    <t>Row Labels</t>
  </si>
  <si>
    <t>Grand Total</t>
  </si>
  <si>
    <t>(All)</t>
  </si>
  <si>
    <t>Average of EOY_Proficient</t>
  </si>
  <si>
    <t>Average of MOY_Proficient</t>
  </si>
  <si>
    <t>Average of BOY_Proficient</t>
  </si>
  <si>
    <t>Average of BOY_Red</t>
  </si>
  <si>
    <t>Average of MOY_Red</t>
  </si>
  <si>
    <t>Average of EOY_Red</t>
  </si>
  <si>
    <t>Average of BOY_Blue</t>
  </si>
  <si>
    <t>Average of MOY_Blue</t>
  </si>
  <si>
    <t>Average of EOY_Blue</t>
  </si>
  <si>
    <t>Column Labels</t>
  </si>
  <si>
    <t>Select Cohort:</t>
  </si>
  <si>
    <t>22K</t>
  </si>
  <si>
    <t>Year</t>
  </si>
  <si>
    <t>Select 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</si>
</sst>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1"/>
      <name val="Calibri"/>
      <family val="2"/>
    </font>
    <font>
      <sz val="8"/>
      <name val="Calibri"/>
      <family val="2"/>
      <scheme val="minor"/>
    </font>
  </fonts>
  <fills count="6">
    <fill>
      <patternFill patternType="none"/>
    </fill>
    <fill>
      <patternFill patternType="gray125"/>
    </fill>
    <fill>
      <patternFill patternType="solid">
        <fgColor rgb="FF2F3542"/>
        <bgColor rgb="FF2F3542"/>
      </patternFill>
    </fill>
    <fill>
      <patternFill patternType="solid">
        <fgColor rgb="FFF1F2F6"/>
        <bgColor rgb="FFF1F2F6"/>
      </patternFill>
    </fill>
    <fill>
      <patternFill patternType="solid">
        <fgColor rgb="FFE4E7EB"/>
        <bgColor rgb="FFE4E7EB"/>
      </patternFill>
    </fill>
    <fill>
      <patternFill patternType="solid">
        <fgColor rgb="FFD9E2EC"/>
        <bgColor rgb="FFD9E2EC"/>
      </patternFill>
    </fill>
  </fills>
  <borders count="3">
    <border>
      <left/>
      <right/>
      <top/>
      <bottom/>
      <diagonal/>
    </border>
    <border>
      <left style="thin">
        <color rgb="FFCED6E0"/>
      </left>
      <right style="thin">
        <color rgb="FFCED6E0"/>
      </right>
      <top style="thin">
        <color rgb="FFCED6E0"/>
      </top>
      <bottom style="thin">
        <color rgb="FFCED6E0"/>
      </bottom>
      <diagonal/>
    </border>
    <border>
      <left style="thin">
        <color rgb="FFCED6E0"/>
      </left>
      <right style="thin">
        <color rgb="FFCED6E0"/>
      </right>
      <top/>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3" borderId="1" xfId="0" applyFont="1" applyFill="1" applyBorder="1" applyAlignment="1">
      <alignment horizontal="right" vertical="center"/>
    </xf>
    <xf numFmtId="0" fontId="2" fillId="4" borderId="1" xfId="0" applyFont="1" applyFill="1" applyBorder="1" applyAlignment="1">
      <alignment horizontal="right" vertical="center"/>
    </xf>
    <xf numFmtId="0" fontId="2" fillId="5" borderId="1" xfId="0" applyFont="1" applyFill="1" applyBorder="1" applyAlignment="1">
      <alignment horizontal="right" vertical="center"/>
    </xf>
    <xf numFmtId="9" fontId="2" fillId="3" borderId="1" xfId="0" applyNumberFormat="1" applyFont="1" applyFill="1" applyBorder="1" applyAlignment="1">
      <alignment horizontal="right" vertical="center"/>
    </xf>
    <xf numFmtId="9" fontId="2" fillId="4" borderId="1" xfId="0" applyNumberFormat="1" applyFont="1" applyFill="1" applyBorder="1" applyAlignment="1">
      <alignment horizontal="right" vertical="center"/>
    </xf>
    <xf numFmtId="9" fontId="2" fillId="5" borderId="1" xfId="0" applyNumberFormat="1" applyFont="1" applyFill="1" applyBorder="1" applyAlignment="1">
      <alignment horizontal="right" vertical="center"/>
    </xf>
    <xf numFmtId="9" fontId="0" fillId="0" borderId="0" xfId="0" applyNumberFormat="1"/>
    <xf numFmtId="9" fontId="2" fillId="0" borderId="1" xfId="0" applyNumberFormat="1" applyFont="1" applyBorder="1" applyAlignment="1">
      <alignment horizontal="right" vertical="center"/>
    </xf>
    <xf numFmtId="0" fontId="2" fillId="0" borderId="1" xfId="0" applyFont="1" applyBorder="1" applyAlignment="1">
      <alignment horizontal="right" vertical="center"/>
    </xf>
    <xf numFmtId="0" fontId="2" fillId="0" borderId="1" xfId="0" quotePrefix="1" applyFont="1" applyBorder="1" applyAlignment="1">
      <alignment horizontal="center" vertical="center"/>
    </xf>
    <xf numFmtId="0" fontId="1" fillId="2" borderId="2"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1" xfId="0" applyBorder="1"/>
    <xf numFmtId="0" fontId="2" fillId="0" borderId="0" xfId="0" applyFont="1" applyAlignment="1">
      <alignment horizontal="right" vertical="center"/>
    </xf>
    <xf numFmtId="9" fontId="0" fillId="0" borderId="1" xfId="0" applyNumberFormat="1" applyBorder="1"/>
    <xf numFmtId="9" fontId="2" fillId="3" borderId="0" xfId="0" applyNumberFormat="1" applyFont="1" applyFill="1" applyAlignment="1">
      <alignment horizontal="right" vertical="center"/>
    </xf>
    <xf numFmtId="9" fontId="2" fillId="4" borderId="0" xfId="0" applyNumberFormat="1" applyFont="1" applyFill="1" applyAlignment="1">
      <alignment horizontal="right" vertical="center"/>
    </xf>
    <xf numFmtId="9" fontId="2" fillId="5" borderId="0" xfId="0" applyNumberFormat="1" applyFont="1" applyFill="1" applyAlignment="1">
      <alignment horizontal="right" vertical="center"/>
    </xf>
    <xf numFmtId="10" fontId="0" fillId="0" borderId="0" xfId="0" applyNumberFormat="1"/>
    <xf numFmtId="0" fontId="2" fillId="3" borderId="0" xfId="0" applyFont="1" applyFill="1" applyAlignment="1">
      <alignment horizontal="right" vertical="center"/>
    </xf>
    <xf numFmtId="0" fontId="2" fillId="4" borderId="0" xfId="0" applyFont="1" applyFill="1" applyAlignment="1">
      <alignment horizontal="right" vertical="center"/>
    </xf>
    <xf numFmtId="0" fontId="2" fillId="5" borderId="0" xfId="0" applyFont="1" applyFill="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[Assessment_Data.xlsx]Trend Analysis!PivotTable2</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Analysis'!$B$4</c:f>
              <c:strCache>
                <c:ptCount val="1"/>
                <c:pt idx="0">
                  <c:v>Average of BOY_Proficient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 Analysis'!$A$5:$A$10</c:f>
              <c:strCache>
                <c:ptCount val="5"/>
                <c:pt idx="0">
                  <c:v>2022</c:v>
                </c:pt>
                <c:pt idx="1">
                  <c:v>2023</c:v>
                </c:pt>
                <c:pt idx="2">
                  <c:v>2024</c:v>
                </c:pt>
                <c:pt idx="3">
                  <c:v>2025</c:v>
                </c:pt>
                <c:pt idx="4">
                  <c:v>2026</c:v>
                </c:pt>
              </c:strCache>
            </c:strRef>
          </c:cat>
          <c:val>
            <c:numRef>
              <c:f>'Trend Analysis'!$B$5:$B$10</c:f>
              <c:numCache>
                <c:formatCode>0%</c:formatCode>
                <c:ptCount val="5"/>
                <c:pt idx="0">
                  <c:v>0.30499999999999999</c:v>
                </c:pt>
                <c:pt idx="1">
                  <c:v>0.42249999999999999</c:v>
                </c:pt>
                <c:pt idx="2">
                  <c:v>0.5575</c:v>
                </c:pt>
                <c:pt idx="3">
                  <c:v>0.54249999999999998</c:v>
                </c:pt>
                <c:pt idx="4">
                  <c:v>0.46600000000000003</c:v>
                </c:pt>
              </c:numCache>
            </c:numRef>
          </c:val>
          <c:smooth val="0"/>
          <c:extLst>
            <c:ext xmlns:c16="http://schemas.microsoft.com/office/drawing/2014/chart" uri="{C3380CC4-5D6E-409C-BE32-E72D297353CC}">
              <c16:uniqueId val="{00000000-6E42-A746-8334-765D30B5E7F4}"/>
            </c:ext>
          </c:extLst>
        </c:ser>
        <c:ser>
          <c:idx val="1"/>
          <c:order val="1"/>
          <c:tx>
            <c:strRef>
              <c:f>'Trend Analysis'!$C$4</c:f>
              <c:strCache>
                <c:ptCount val="1"/>
                <c:pt idx="0">
                  <c:v>Average of MOY_Proficient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Analysis'!$A$5:$A$10</c:f>
              <c:strCache>
                <c:ptCount val="5"/>
                <c:pt idx="0">
                  <c:v>2022</c:v>
                </c:pt>
                <c:pt idx="1">
                  <c:v>2023</c:v>
                </c:pt>
                <c:pt idx="2">
                  <c:v>2024</c:v>
                </c:pt>
                <c:pt idx="3">
                  <c:v>2025</c:v>
                </c:pt>
                <c:pt idx="4">
                  <c:v>2026</c:v>
                </c:pt>
              </c:strCache>
            </c:strRef>
          </c:cat>
          <c:val>
            <c:numRef>
              <c:f>'Trend Analysis'!$C$5:$C$10</c:f>
              <c:numCache>
                <c:formatCode>0%</c:formatCode>
                <c:ptCount val="5"/>
                <c:pt idx="0">
                  <c:v>0.55499999999999994</c:v>
                </c:pt>
                <c:pt idx="1">
                  <c:v>0.5625</c:v>
                </c:pt>
                <c:pt idx="2">
                  <c:v>0.6875</c:v>
                </c:pt>
                <c:pt idx="3">
                  <c:v>0.70750000000000002</c:v>
                </c:pt>
                <c:pt idx="4">
                  <c:v>0.60599999999999998</c:v>
                </c:pt>
              </c:numCache>
            </c:numRef>
          </c:val>
          <c:smooth val="0"/>
          <c:extLst>
            <c:ext xmlns:c16="http://schemas.microsoft.com/office/drawing/2014/chart" uri="{C3380CC4-5D6E-409C-BE32-E72D297353CC}">
              <c16:uniqueId val="{00000001-6E42-A746-8334-765D30B5E7F4}"/>
            </c:ext>
          </c:extLst>
        </c:ser>
        <c:ser>
          <c:idx val="2"/>
          <c:order val="2"/>
          <c:tx>
            <c:strRef>
              <c:f>'Trend Analysis'!$D$4</c:f>
              <c:strCache>
                <c:ptCount val="1"/>
                <c:pt idx="0">
                  <c:v>Average of EOY_Proficient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'Trend Analysis'!$A$5:$A$10</c:f>
              <c:strCache>
                <c:ptCount val="5"/>
                <c:pt idx="0">
                  <c:v>2022</c:v>
                </c:pt>
                <c:pt idx="1">
                  <c:v>2023</c:v>
                </c:pt>
                <c:pt idx="2">
                  <c:v>2024</c:v>
                </c:pt>
                <c:pt idx="3">
                  <c:v>2025</c:v>
                </c:pt>
                <c:pt idx="4">
                  <c:v>2026</c:v>
                </c:pt>
              </c:strCache>
            </c:strRef>
          </c:cat>
          <c:val>
            <c:numRef>
              <c:f>'Trend Analysis'!$D$5:$D$10</c:f>
              <c:numCache>
                <c:formatCode>0%</c:formatCode>
                <c:ptCount val="5"/>
                <c:pt idx="0">
                  <c:v>0.60250000000000004</c:v>
                </c:pt>
                <c:pt idx="1">
                  <c:v>0.65250000000000008</c:v>
                </c:pt>
                <c:pt idx="2">
                  <c:v>0.70750000000000002</c:v>
                </c:pt>
                <c:pt idx="3">
                  <c:v>0.71</c:v>
                </c:pt>
                <c:pt idx="4">
                  <c:v>0.60399999999999998</c:v>
                </c:pt>
              </c:numCache>
            </c:numRef>
          </c:val>
          <c:smooth val="0"/>
          <c:extLst>
            <c:ext xmlns:c16="http://schemas.microsoft.com/office/drawing/2014/chart" uri="{C3380CC4-5D6E-409C-BE32-E72D297353CC}">
              <c16:uniqueId val="{00000002-6E42-A746-8334-765D30B5E7F4}"/>
            </c:ext>
          </c:extLst>
        </c:ser>
        <c:dLbls>
          <c:showLegendKey val="0"/>
          <c:showVal val="0"/>
          <c:showCatName val="0"/>
          <c:showSerName val="0"/>
          <c:showPercent val="0"/>
          <c:showBubbleSize val="0"/>
        </c:dLbls>
        <c:marker val="1"/>
        <c:smooth val="0"/>
        <c:axId val="1694408048"/>
        <c:axId val="1234745312"/>
      </c:lineChart>
      <c:catAx>
        <c:axId val="169440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45312"/>
        <c:crosses val="autoZero"/>
        <c:auto val="1"/>
        <c:lblAlgn val="ctr"/>
        <c:lblOffset val="100"/>
        <c:noMultiLvlLbl val="0"/>
      </c:catAx>
      <c:valAx>
        <c:axId val="1234745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40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[Assessment_Data.xlsx]Tier Movement!PivotTable3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'Tier Movement'!$A$5</c:f>
              <c:strCache>
                <c:ptCount val="1"/>
                <c:pt idx="0">
                  <c:v>Average of BOY_Red</c:v>
                </c:pt>
              </c:strCache>
            </c:strRef>
          </c:tx>
          <c:spPr>
            <a:solidFill>
              <a:schemeClr val="accent1"/>
            </a:solidFill>
            <a:ln>
              <a:noFill/>
            </a:ln>
            <a:effectLst/>
          </c:spPr>
          <c:invertIfNegative val="0"/>
          <c:cat>
            <c:strRef>
              <c:f>'Tier Movement'!$A$6</c:f>
              <c:strCache>
                <c:ptCount val="1"/>
                <c:pt idx="0">
                  <c:v>Total</c:v>
                </c:pt>
              </c:strCache>
            </c:strRef>
          </c:cat>
          <c:val>
            <c:numRef>
              <c:f>'Tier Movement'!$A$6</c:f>
              <c:numCache>
                <c:formatCode>0.00%</c:formatCode>
                <c:ptCount val="1"/>
                <c:pt idx="0">
                  <c:v>0.17</c:v>
                </c:pt>
              </c:numCache>
            </c:numRef>
          </c:val>
          <c:extLst>
            <c:ext xmlns:c16="http://schemas.microsoft.com/office/drawing/2014/chart" uri="{C3380CC4-5D6E-409C-BE32-E72D297353CC}">
              <c16:uniqueId val="{00000000-E599-4649-A63F-303F8A53E8C8}"/>
            </c:ext>
          </c:extLst>
        </c:ser>
        <c:ser>
          <c:idx val="1"/>
          <c:order val="1"/>
          <c:tx>
            <c:strRef>
              <c:f>'Tier Movement'!$B$5</c:f>
              <c:strCache>
                <c:ptCount val="1"/>
                <c:pt idx="0">
                  <c:v>Average of MOY_Red</c:v>
                </c:pt>
              </c:strCache>
            </c:strRef>
          </c:tx>
          <c:spPr>
            <a:solidFill>
              <a:schemeClr val="accent2"/>
            </a:solidFill>
            <a:ln>
              <a:noFill/>
            </a:ln>
            <a:effectLst/>
          </c:spPr>
          <c:invertIfNegative val="0"/>
          <c:cat>
            <c:strRef>
              <c:f>'Tier Movement'!$A$6</c:f>
              <c:strCache>
                <c:ptCount val="1"/>
                <c:pt idx="0">
                  <c:v>Total</c:v>
                </c:pt>
              </c:strCache>
            </c:strRef>
          </c:cat>
          <c:val>
            <c:numRef>
              <c:f>'Tier Movement'!$B$6</c:f>
              <c:numCache>
                <c:formatCode>0.00%</c:formatCode>
                <c:ptCount val="1"/>
                <c:pt idx="0">
                  <c:v>0.15</c:v>
                </c:pt>
              </c:numCache>
            </c:numRef>
          </c:val>
          <c:extLst>
            <c:ext xmlns:c16="http://schemas.microsoft.com/office/drawing/2014/chart" uri="{C3380CC4-5D6E-409C-BE32-E72D297353CC}">
              <c16:uniqueId val="{00000001-E599-4649-A63F-303F8A53E8C8}"/>
            </c:ext>
          </c:extLst>
        </c:ser>
        <c:ser>
          <c:idx val="2"/>
          <c:order val="2"/>
          <c:tx>
            <c:strRef>
              <c:f>'Tier Movement'!$C$5</c:f>
              <c:strCache>
                <c:ptCount val="1"/>
                <c:pt idx="0">
                  <c:v>Average of EOY_Red</c:v>
                </c:pt>
              </c:strCache>
            </c:strRef>
          </c:tx>
          <c:spPr>
            <a:solidFill>
              <a:schemeClr val="accent3"/>
            </a:solidFill>
            <a:ln>
              <a:noFill/>
            </a:ln>
            <a:effectLst/>
          </c:spPr>
          <c:invertIfNegative val="0"/>
          <c:cat>
            <c:strRef>
              <c:f>'Tier Movement'!$A$6</c:f>
              <c:strCache>
                <c:ptCount val="1"/>
                <c:pt idx="0">
                  <c:v>Total</c:v>
                </c:pt>
              </c:strCache>
            </c:strRef>
          </c:cat>
          <c:val>
            <c:numRef>
              <c:f>'Tier Movement'!$C$6</c:f>
              <c:numCache>
                <c:formatCode>0.00%</c:formatCode>
                <c:ptCount val="1"/>
                <c:pt idx="0">
                  <c:v>0.08</c:v>
                </c:pt>
              </c:numCache>
            </c:numRef>
          </c:val>
          <c:extLst>
            <c:ext xmlns:c16="http://schemas.microsoft.com/office/drawing/2014/chart" uri="{C3380CC4-5D6E-409C-BE32-E72D297353CC}">
              <c16:uniqueId val="{00000002-E599-4649-A63F-303F8A53E8C8}"/>
            </c:ext>
          </c:extLst>
        </c:ser>
        <c:dLbls>
          <c:showLegendKey val="0"/>
          <c:showVal val="0"/>
          <c:showCatName val="0"/>
          <c:showSerName val="0"/>
          <c:showPercent val="0"/>
          <c:showBubbleSize val="0"/>
        </c:dLbls>
        <c:gapWidth val="219"/>
        <c:axId val="1551598752"/>
        <c:axId val="1551800128"/>
      </c:barChart>
      <c:catAx>
        <c:axId val="155159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800128"/>
        <c:crosses val="autoZero"/>
        <c:auto val="1"/>
        <c:lblAlgn val="ctr"/>
        <c:lblOffset val="100"/>
        <c:noMultiLvlLbl val="0"/>
      </c:catAx>
      <c:valAx>
        <c:axId val="1551800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59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[Assessment_Data.xlsx]Tier Movement!PivotTable5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'Tier Movement'!$F$5</c:f>
              <c:strCache>
                <c:ptCount val="1"/>
                <c:pt idx="0">
                  <c:v>Average of BOY_Blue</c:v>
                </c:pt>
              </c:strCache>
            </c:strRef>
          </c:tx>
          <c:spPr>
            <a:solidFill>
              <a:schemeClr val="accent1"/>
            </a:solidFill>
            <a:ln>
              <a:noFill/>
            </a:ln>
            <a:effectLst/>
          </c:spPr>
          <c:invertIfNegative val="0"/>
          <c:cat>
            <c:strRef>
              <c:f>'Tier Movement'!$F$6</c:f>
              <c:strCache>
                <c:ptCount val="1"/>
                <c:pt idx="0">
                  <c:v>Total</c:v>
                </c:pt>
              </c:strCache>
            </c:strRef>
          </c:cat>
          <c:val>
            <c:numRef>
              <c:f>'Tier Movement'!$F$6</c:f>
              <c:numCache>
                <c:formatCode>0.00%</c:formatCode>
                <c:ptCount val="1"/>
                <c:pt idx="0">
                  <c:v>0.3</c:v>
                </c:pt>
              </c:numCache>
            </c:numRef>
          </c:val>
          <c:extLst>
            <c:ext xmlns:c16="http://schemas.microsoft.com/office/drawing/2014/chart" uri="{C3380CC4-5D6E-409C-BE32-E72D297353CC}">
              <c16:uniqueId val="{00000000-1147-CA4D-9E93-79CB43CD3089}"/>
            </c:ext>
          </c:extLst>
        </c:ser>
        <c:ser>
          <c:idx val="1"/>
          <c:order val="1"/>
          <c:tx>
            <c:strRef>
              <c:f>'Tier Movement'!$G$5</c:f>
              <c:strCache>
                <c:ptCount val="1"/>
                <c:pt idx="0">
                  <c:v>Average of MOY_Blue</c:v>
                </c:pt>
              </c:strCache>
            </c:strRef>
          </c:tx>
          <c:spPr>
            <a:solidFill>
              <a:schemeClr val="accent2"/>
            </a:solidFill>
            <a:ln>
              <a:noFill/>
            </a:ln>
            <a:effectLst/>
          </c:spPr>
          <c:invertIfNegative val="0"/>
          <c:cat>
            <c:strRef>
              <c:f>'Tier Movement'!$F$6</c:f>
              <c:strCache>
                <c:ptCount val="1"/>
                <c:pt idx="0">
                  <c:v>Total</c:v>
                </c:pt>
              </c:strCache>
            </c:strRef>
          </c:cat>
          <c:val>
            <c:numRef>
              <c:f>'Tier Movement'!$G$6</c:f>
              <c:numCache>
                <c:formatCode>0.00%</c:formatCode>
                <c:ptCount val="1"/>
                <c:pt idx="0">
                  <c:v>0.42</c:v>
                </c:pt>
              </c:numCache>
            </c:numRef>
          </c:val>
          <c:extLst>
            <c:ext xmlns:c16="http://schemas.microsoft.com/office/drawing/2014/chart" uri="{C3380CC4-5D6E-409C-BE32-E72D297353CC}">
              <c16:uniqueId val="{00000001-1147-CA4D-9E93-79CB43CD3089}"/>
            </c:ext>
          </c:extLst>
        </c:ser>
        <c:ser>
          <c:idx val="2"/>
          <c:order val="2"/>
          <c:tx>
            <c:strRef>
              <c:f>'Tier Movement'!$H$5</c:f>
              <c:strCache>
                <c:ptCount val="1"/>
                <c:pt idx="0">
                  <c:v>Average of EOY_Blue</c:v>
                </c:pt>
              </c:strCache>
            </c:strRef>
          </c:tx>
          <c:spPr>
            <a:solidFill>
              <a:schemeClr val="accent3"/>
            </a:solidFill>
            <a:ln>
              <a:noFill/>
            </a:ln>
            <a:effectLst/>
          </c:spPr>
          <c:invertIfNegative val="0"/>
          <c:cat>
            <c:strRef>
              <c:f>'Tier Movement'!$F$6</c:f>
              <c:strCache>
                <c:ptCount val="1"/>
                <c:pt idx="0">
                  <c:v>Total</c:v>
                </c:pt>
              </c:strCache>
            </c:strRef>
          </c:cat>
          <c:val>
            <c:numRef>
              <c:f>'Tier Movement'!$H$6</c:f>
              <c:numCache>
                <c:formatCode>0.00%</c:formatCode>
                <c:ptCount val="1"/>
                <c:pt idx="0">
                  <c:v>0.43</c:v>
                </c:pt>
              </c:numCache>
            </c:numRef>
          </c:val>
          <c:extLst>
            <c:ext xmlns:c16="http://schemas.microsoft.com/office/drawing/2014/chart" uri="{C3380CC4-5D6E-409C-BE32-E72D297353CC}">
              <c16:uniqueId val="{00000002-1147-CA4D-9E93-79CB43CD3089}"/>
            </c:ext>
          </c:extLst>
        </c:ser>
        <c:dLbls>
          <c:showLegendKey val="0"/>
          <c:showVal val="0"/>
          <c:showCatName val="0"/>
          <c:showSerName val="0"/>
          <c:showPercent val="0"/>
          <c:showBubbleSize val="0"/>
        </c:dLbls>
        <c:gapWidth val="219"/>
        <c:overlap val="-27"/>
        <c:axId val="1551647664"/>
        <c:axId val="1670721440"/>
      </c:barChart>
      <c:catAx>
        <c:axId val="155164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721440"/>
        <c:crosses val="autoZero"/>
        <c:auto val="1"/>
        <c:lblAlgn val="ctr"/>
        <c:lblOffset val="100"/>
        <c:noMultiLvlLbl val="0"/>
      </c:catAx>
      <c:valAx>
        <c:axId val="1670721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64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939800</xdr:colOff>
      <xdr:row>12</xdr:row>
      <xdr:rowOff>50800</xdr:rowOff>
    </xdr:from>
    <xdr:to>
      <xdr:col>4</xdr:col>
      <xdr:colOff>63500</xdr:colOff>
      <xdr:row>29</xdr:row>
      <xdr:rowOff>50800</xdr:rowOff>
    </xdr:to>
    <xdr:graphicFrame macro="">
      <xdr:nvGraphicFramePr>
        <xdr:cNvPr id="3" name="Chart 2">
          <a:extLst>
            <a:ext uri="{FF2B5EF4-FFF2-40B4-BE49-F238E27FC236}">
              <a16:creationId xmlns:a16="http://schemas.microsoft.com/office/drawing/2014/main" id="{AE5427C1-D8E0-8D63-4F31-3C458D217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596900</xdr:colOff>
      <xdr:row>14</xdr:row>
      <xdr:rowOff>76200</xdr:rowOff>
    </xdr:from>
    <xdr:to>
      <xdr:col>7</xdr:col>
      <xdr:colOff>774700</xdr:colOff>
      <xdr:row>27</xdr:row>
      <xdr:rowOff>28569</xdr:rowOff>
    </xdr:to>
    <mc:AlternateContent xmlns:mc="http://schemas.openxmlformats.org/markup-compatibility/2006" xmlns:a14="http://schemas.microsoft.com/office/drawing/2010/main">
      <mc:Choice Requires="a14">
        <xdr:graphicFrame macro="">
          <xdr:nvGraphicFramePr>
            <xdr:cNvPr id="5" name="Sub_Skill_Measure">
              <a:extLst>
                <a:ext uri="{FF2B5EF4-FFF2-40B4-BE49-F238E27FC236}">
                  <a16:creationId xmlns:a16="http://schemas.microsoft.com/office/drawing/2014/main" id="{2CC5E2F0-D78B-161E-583D-3CA398007289}"/>
                </a:ext>
              </a:extLst>
            </xdr:cNvPr>
            <xdr:cNvGraphicFramePr/>
          </xdr:nvGraphicFramePr>
          <xdr:xfrm>
            <a:off x="0" y="0"/>
            <a:ext cx="0" cy="0"/>
          </xdr:xfrm>
          <a:graphic>
            <a:graphicData uri="http://schemas.microsoft.com/office/drawing/2010/slicer">
              <sle:slicer xmlns:sle="http://schemas.microsoft.com/office/drawing/2010/slicer" name="Sub_Skill_Measure"/>
            </a:graphicData>
          </a:graphic>
        </xdr:graphicFrame>
      </mc:Choice>
      <mc:Fallback xmlns="">
        <xdr:sp macro="" textlink="">
          <xdr:nvSpPr>
            <xdr:cNvPr id="0" name=""/>
            <xdr:cNvSpPr>
              <a:spLocks noTextEdit="1"/>
            </xdr:cNvSpPr>
          </xdr:nvSpPr>
          <xdr:spPr>
            <a:xfrm>
              <a:off x="8382000" y="2743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355600</xdr:colOff>
      <xdr:row>14</xdr:row>
      <xdr:rowOff>50800</xdr:rowOff>
    </xdr:from>
    <xdr:to>
      <xdr:col>5</xdr:col>
      <xdr:colOff>546100</xdr:colOff>
      <xdr:row>27</xdr:row>
      <xdr:rowOff>3169</xdr:rowOff>
    </xdr:to>
    <mc:AlternateContent xmlns:mc="http://schemas.openxmlformats.org/markup-compatibility/2006" xmlns:a14="http://schemas.microsoft.com/office/drawing/2010/main">
      <mc:Choice Requires="a14">
        <xdr:graphicFrame macro="">
          <xdr:nvGraphicFramePr>
            <xdr:cNvPr id="6" name="Grade">
              <a:extLst>
                <a:ext uri="{FF2B5EF4-FFF2-40B4-BE49-F238E27FC236}">
                  <a16:creationId xmlns:a16="http://schemas.microsoft.com/office/drawing/2014/main" id="{6E944953-D2FA-0783-1783-F04F385EA65D}"/>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6502400" y="2717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685800</xdr:colOff>
      <xdr:row>21</xdr:row>
      <xdr:rowOff>76200</xdr:rowOff>
    </xdr:to>
    <xdr:graphicFrame macro="">
      <xdr:nvGraphicFramePr>
        <xdr:cNvPr id="2" name="Chart 1">
          <a:extLst>
            <a:ext uri="{FF2B5EF4-FFF2-40B4-BE49-F238E27FC236}">
              <a16:creationId xmlns:a16="http://schemas.microsoft.com/office/drawing/2014/main" id="{58529CD5-2FF5-0884-0C68-38B69F24E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787400</xdr:colOff>
      <xdr:row>7</xdr:row>
      <xdr:rowOff>25400</xdr:rowOff>
    </xdr:from>
    <xdr:to>
      <xdr:col>8</xdr:col>
      <xdr:colOff>533400</xdr:colOff>
      <xdr:row>21</xdr:row>
      <xdr:rowOff>101600</xdr:rowOff>
    </xdr:to>
    <xdr:graphicFrame macro="">
      <xdr:nvGraphicFramePr>
        <xdr:cNvPr id="3" name="Chart 2">
          <a:extLst>
            <a:ext uri="{FF2B5EF4-FFF2-40B4-BE49-F238E27FC236}">
              <a16:creationId xmlns:a16="http://schemas.microsoft.com/office/drawing/2014/main" id="{347EC2C8-62E0-8C30-B30A-06B6E47C4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stin Hill" refreshedDate="46168.914078819442" createdVersion="8" refreshedVersion="8" minRefreshableVersion="3" recordCount="151" xr:uid="{44D9BA55-409B-AE48-947E-D7802A1A69B1}">
  <cacheSource type="worksheet">
    <worksheetSource ref="A1:T152" sheet="Historical_Master_Data"/>
  </cacheSource>
  <cacheFields count="20">
    <cacheField name="Data_Year" numFmtId="0">
      <sharedItems containsSemiMixedTypes="0" containsString="0" containsNumber="1" containsInteger="1" minValue="2022" maxValue="2026" count="5">
        <n v="2022"/>
        <n v="2023"/>
        <n v="2025"/>
        <n v="2026"/>
        <n v="2024"/>
      </sharedItems>
    </cacheField>
    <cacheField name="Grade" numFmtId="0">
      <sharedItems containsMixedTypes="1" containsNumber="1" containsInteger="1" minValue="1" maxValue="5" count="6">
        <n v="1"/>
        <n v="2"/>
        <n v="3"/>
        <n v="4"/>
        <n v="5"/>
        <s v="K"/>
      </sharedItems>
    </cacheField>
    <cacheField name="Sub_Skill_Measure" numFmtId="0">
      <sharedItems count="9">
        <s v="Reading Fluency (ORF)"/>
        <s v="Word Reading (WRF)"/>
        <s v="Composite Score"/>
        <s v="Letter Names (LNF)"/>
        <s v="Phonemic Awareness (PSF)"/>
        <s v="Letter Sounds (NWF-CLS)"/>
        <s v="Decoding (NWF-WRC)"/>
        <s v="Reading Accuracy (ORF-Accu)"/>
        <s v="Basic Comprehension (Maze)"/>
      </sharedItems>
    </cacheField>
    <cacheField name="Total_Students_N" numFmtId="0">
      <sharedItems containsSemiMixedTypes="0" containsString="0" containsNumber="1" containsInteger="1" minValue="66" maxValue="120"/>
    </cacheField>
    <cacheField name="BOY_Red" numFmtId="0">
      <sharedItems containsString="0" containsBlank="1" containsNumber="1" minValue="0.05" maxValue="0.7"/>
    </cacheField>
    <cacheField name="BOY_Yellow" numFmtId="9">
      <sharedItems containsSemiMixedTypes="0" containsString="0" containsNumber="1" minValue="0.08" maxValue="0.97"/>
    </cacheField>
    <cacheField name="BOY_Green" numFmtId="0">
      <sharedItems containsString="0" containsBlank="1" containsNumber="1" minValue="0.03" maxValue="0.77"/>
    </cacheField>
    <cacheField name="BOY_Blue" numFmtId="0">
      <sharedItems containsString="0" containsBlank="1" containsNumber="1" minValue="0.03" maxValue="0.5"/>
    </cacheField>
    <cacheField name="MOY_Red" numFmtId="0">
      <sharedItems containsString="0" containsBlank="1" containsNumber="1" minValue="0.01" maxValue="0.75"/>
    </cacheField>
    <cacheField name="MOY_Yellow" numFmtId="0">
      <sharedItems containsString="0" containsBlank="1" containsNumber="1" minValue="0.01" maxValue="0.37"/>
    </cacheField>
    <cacheField name="MOY_Green" numFmtId="0">
      <sharedItems containsString="0" containsBlank="1" containsNumber="1" minValue="0.19" maxValue="0.92"/>
    </cacheField>
    <cacheField name="MOY_Blue" numFmtId="0">
      <sharedItems containsString="0" containsBlank="1" containsNumber="1" minValue="0.1" maxValue="0.61"/>
    </cacheField>
    <cacheField name="EOY_Red" numFmtId="0">
      <sharedItems containsString="0" containsBlank="1" containsNumber="1" minValue="0.01" maxValue="0.75"/>
    </cacheField>
    <cacheField name="EOY_Yellow" numFmtId="0">
      <sharedItems containsString="0" containsBlank="1" containsNumber="1" minValue="0.01" maxValue="0.32"/>
    </cacheField>
    <cacheField name="EOY_Green" numFmtId="0">
      <sharedItems containsString="0" containsBlank="1" containsNumber="1" minValue="0.01" maxValue="0.98"/>
    </cacheField>
    <cacheField name="EOY_Blue" numFmtId="0">
      <sharedItems containsString="0" containsBlank="1" containsNumber="1" minValue="0.11" maxValue="0.92"/>
    </cacheField>
    <cacheField name="BOY_Proficient" numFmtId="9">
      <sharedItems containsSemiMixedTypes="0" containsString="0" containsNumber="1" minValue="0" maxValue="0.83000000000000007"/>
    </cacheField>
    <cacheField name="MOY_Proficient" numFmtId="9">
      <sharedItems containsSemiMixedTypes="0" containsString="0" containsNumber="1" minValue="0" maxValue="0.96"/>
    </cacheField>
    <cacheField name="EOY_Proficient" numFmtId="9">
      <sharedItems containsSemiMixedTypes="0" containsString="0" containsNumber="1" minValue="0" maxValue="1"/>
    </cacheField>
    <cacheField name="In_Year_Growth" numFmtId="9">
      <sharedItems containsSemiMixedTypes="0" containsString="0" containsNumber="1" minValue="-5.0000000000000044E-2" maxValue="0.91999999999999993"/>
    </cacheField>
  </cacheFields>
  <extLst>
    <ext xmlns:x14="http://schemas.microsoft.com/office/spreadsheetml/2009/9/main" uri="{725AE2AE-9491-48be-B2B4-4EB974FC3084}">
      <x14:pivotCacheDefinition pivotCacheId="1450658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x v="0"/>
    <n v="98"/>
    <n v="0.35"/>
    <n v="0.18"/>
    <n v="0.26"/>
    <n v="0.19"/>
    <n v="0.33"/>
    <n v="0.19"/>
    <n v="0.28000000000000003"/>
    <n v="0.2"/>
    <n v="0.13"/>
    <n v="0.28999999999999998"/>
    <n v="0.24"/>
    <n v="0.34"/>
    <n v="0.45"/>
    <n v="0.48000000000000004"/>
    <n v="0.58000000000000007"/>
    <n v="0.13000000000000006"/>
  </r>
  <r>
    <x v="1"/>
    <x v="0"/>
    <x v="1"/>
    <n v="100"/>
    <n v="0.37"/>
    <n v="0.17"/>
    <n v="0.24"/>
    <n v="0.22"/>
    <n v="0.26"/>
    <n v="0.17"/>
    <n v="0.31"/>
    <n v="0.26"/>
    <n v="0.17"/>
    <n v="0.22"/>
    <n v="0.28000000000000003"/>
    <n v="0.33"/>
    <n v="0.45999999999999996"/>
    <n v="0.57000000000000006"/>
    <n v="0.6100000000000001"/>
    <n v="0.15000000000000013"/>
  </r>
  <r>
    <x v="2"/>
    <x v="0"/>
    <x v="1"/>
    <n v="95"/>
    <n v="0.28999999999999998"/>
    <n v="0.2"/>
    <n v="0.21"/>
    <n v="0.3"/>
    <n v="0.19"/>
    <n v="0.12"/>
    <n v="0.33"/>
    <n v="0.36"/>
    <n v="0.15"/>
    <n v="0.21"/>
    <n v="0.24"/>
    <n v="0.4"/>
    <n v="0.51"/>
    <n v="0.69"/>
    <n v="0.64"/>
    <n v="0.13"/>
  </r>
  <r>
    <x v="3"/>
    <x v="0"/>
    <x v="1"/>
    <n v="88"/>
    <n v="0.24"/>
    <n v="0.11"/>
    <n v="0.35"/>
    <n v="0.3"/>
    <n v="0.13"/>
    <n v="0.17"/>
    <n v="0.28000000000000003"/>
    <n v="0.42"/>
    <n v="0.09"/>
    <n v="0.21"/>
    <n v="0.27"/>
    <n v="0.43"/>
    <n v="0.64999999999999991"/>
    <n v="0.7"/>
    <n v="0.7"/>
    <n v="5.0000000000000044E-2"/>
  </r>
  <r>
    <x v="0"/>
    <x v="0"/>
    <x v="2"/>
    <n v="98"/>
    <n v="0.31"/>
    <n v="0.22"/>
    <n v="0.32"/>
    <n v="0.15"/>
    <n v="0.37"/>
    <n v="0.14000000000000001"/>
    <n v="0.32"/>
    <n v="0.17"/>
    <n v="0.13"/>
    <n v="0.17"/>
    <n v="0.4"/>
    <n v="0.3"/>
    <n v="0.47"/>
    <n v="0.49"/>
    <n v="0.7"/>
    <n v="0.22999999999999998"/>
  </r>
  <r>
    <x v="0"/>
    <x v="0"/>
    <x v="3"/>
    <n v="98"/>
    <n v="0.33"/>
    <n v="0.27"/>
    <n v="0.4"/>
    <m/>
    <n v="0.35"/>
    <n v="0.11"/>
    <n v="0.54"/>
    <m/>
    <n v="0.12"/>
    <n v="0.06"/>
    <n v="0.82"/>
    <m/>
    <n v="0.4"/>
    <n v="0.54"/>
    <n v="0.82"/>
    <n v="0.41999999999999993"/>
  </r>
  <r>
    <x v="0"/>
    <x v="0"/>
    <x v="4"/>
    <n v="98"/>
    <n v="0.19"/>
    <n v="0.26"/>
    <n v="0.39"/>
    <n v="0.16"/>
    <n v="0.27"/>
    <n v="0.27"/>
    <n v="0.33"/>
    <n v="0.13"/>
    <n v="0.08"/>
    <n v="0.14000000000000001"/>
    <n v="0.55000000000000004"/>
    <n v="0.23"/>
    <n v="0.55000000000000004"/>
    <n v="0.46"/>
    <n v="0.78"/>
    <n v="0.22999999999999998"/>
  </r>
  <r>
    <x v="0"/>
    <x v="0"/>
    <x v="5"/>
    <n v="98"/>
    <n v="0.39"/>
    <n v="0.17"/>
    <n v="0.25"/>
    <n v="0.19"/>
    <n v="0.5"/>
    <n v="0.14000000000000001"/>
    <n v="0.23"/>
    <n v="0.13"/>
    <n v="0.18"/>
    <n v="0.18"/>
    <n v="0.37"/>
    <n v="0.27"/>
    <n v="0.44"/>
    <n v="0.36"/>
    <n v="0.64"/>
    <n v="0.2"/>
  </r>
  <r>
    <x v="0"/>
    <x v="0"/>
    <x v="6"/>
    <n v="98"/>
    <n v="0.39"/>
    <n v="0.25"/>
    <n v="0.26"/>
    <n v="0.1"/>
    <n v="0.36"/>
    <n v="0.21"/>
    <n v="0.3"/>
    <n v="0.13"/>
    <n v="0.15"/>
    <n v="0.15"/>
    <n v="0.43"/>
    <n v="0.27"/>
    <n v="0.36"/>
    <n v="0.43"/>
    <n v="0.7"/>
    <n v="0.33999999999999997"/>
  </r>
  <r>
    <x v="0"/>
    <x v="0"/>
    <x v="1"/>
    <n v="98"/>
    <n v="0.38"/>
    <n v="0.17"/>
    <n v="0.23"/>
    <n v="0.22"/>
    <n v="0.31"/>
    <n v="0.13"/>
    <n v="0.31"/>
    <n v="0.25"/>
    <n v="0.16"/>
    <n v="0.27"/>
    <n v="0.27"/>
    <n v="0.3"/>
    <n v="0.45"/>
    <n v="0.56000000000000005"/>
    <n v="0.57000000000000006"/>
    <n v="0.12000000000000005"/>
  </r>
  <r>
    <x v="0"/>
    <x v="0"/>
    <x v="7"/>
    <n v="98"/>
    <n v="0.42"/>
    <n v="0.17"/>
    <n v="0.39"/>
    <m/>
    <n v="0.25"/>
    <n v="0.37"/>
    <n v="0.38"/>
    <m/>
    <n v="0.23"/>
    <n v="0.13"/>
    <n v="0.64"/>
    <m/>
    <n v="0.39"/>
    <n v="0.38"/>
    <n v="0.64"/>
    <n v="0.25"/>
  </r>
  <r>
    <x v="1"/>
    <x v="0"/>
    <x v="2"/>
    <n v="100"/>
    <n v="0.28999999999999998"/>
    <n v="0.26"/>
    <n v="0.26"/>
    <n v="0.19"/>
    <n v="0.21"/>
    <n v="0.24"/>
    <n v="0.33"/>
    <n v="0.22"/>
    <n v="0.11"/>
    <n v="0.12"/>
    <n v="0.36"/>
    <n v="0.41"/>
    <n v="0.45"/>
    <n v="0.55000000000000004"/>
    <n v="0.77"/>
    <n v="0.32"/>
  </r>
  <r>
    <x v="1"/>
    <x v="0"/>
    <x v="6"/>
    <n v="100"/>
    <n v="0.34"/>
    <n v="0.27"/>
    <n v="0.23"/>
    <n v="0.16"/>
    <n v="0.21"/>
    <n v="0.19"/>
    <n v="0.42"/>
    <n v="0.18"/>
    <n v="0.1"/>
    <n v="0.1"/>
    <n v="0.41"/>
    <n v="0.39"/>
    <n v="0.39"/>
    <n v="0.6"/>
    <n v="0.8"/>
    <n v="0.41000000000000003"/>
  </r>
  <r>
    <x v="1"/>
    <x v="0"/>
    <x v="3"/>
    <n v="100"/>
    <n v="0.3"/>
    <n v="0.24"/>
    <n v="0.46"/>
    <m/>
    <n v="0.19"/>
    <n v="0.09"/>
    <n v="0.72"/>
    <m/>
    <n v="0.06"/>
    <m/>
    <n v="0.93"/>
    <m/>
    <n v="0.46"/>
    <n v="0.72"/>
    <n v="0.93"/>
    <n v="0.47000000000000003"/>
  </r>
  <r>
    <x v="1"/>
    <x v="0"/>
    <x v="5"/>
    <n v="100"/>
    <n v="0.43"/>
    <n v="0.11"/>
    <n v="0.25"/>
    <n v="0.21"/>
    <n v="0.25"/>
    <n v="0.23"/>
    <n v="0.34"/>
    <n v="0.18"/>
    <n v="0.1"/>
    <n v="0.1"/>
    <n v="0.4"/>
    <n v="0.4"/>
    <n v="0.45999999999999996"/>
    <n v="0.52"/>
    <n v="0.8"/>
    <n v="0.34000000000000008"/>
  </r>
  <r>
    <x v="1"/>
    <x v="0"/>
    <x v="4"/>
    <n v="100"/>
    <n v="0.15"/>
    <n v="0.19"/>
    <n v="0.5"/>
    <n v="0.16"/>
    <n v="7.0000000000000007E-2"/>
    <m/>
    <n v="0.48"/>
    <n v="0.42"/>
    <n v="0.06"/>
    <m/>
    <n v="0.34"/>
    <n v="0.57999999999999996"/>
    <n v="0.66"/>
    <n v="0.89999999999999991"/>
    <n v="0.91999999999999993"/>
    <n v="0.2599999999999999"/>
  </r>
  <r>
    <x v="1"/>
    <x v="0"/>
    <x v="7"/>
    <n v="100"/>
    <n v="0.46"/>
    <n v="0.19"/>
    <n v="0.33"/>
    <m/>
    <n v="0.34"/>
    <n v="0.27"/>
    <n v="0.39"/>
    <m/>
    <n v="0.24"/>
    <n v="0.11"/>
    <n v="0.65"/>
    <m/>
    <n v="0.33"/>
    <n v="0.39"/>
    <n v="0.65"/>
    <n v="0.32"/>
  </r>
  <r>
    <x v="1"/>
    <x v="0"/>
    <x v="0"/>
    <n v="100"/>
    <n v="0.37"/>
    <n v="0.15"/>
    <n v="0.31"/>
    <n v="0.15"/>
    <n v="0.38"/>
    <n v="0.15"/>
    <n v="0.25"/>
    <n v="0.22"/>
    <n v="0.16"/>
    <n v="0.19"/>
    <n v="0.3"/>
    <n v="0.35"/>
    <n v="0.45999999999999996"/>
    <n v="0.47"/>
    <n v="0.64999999999999991"/>
    <n v="0.18999999999999995"/>
  </r>
  <r>
    <x v="4"/>
    <x v="0"/>
    <x v="2"/>
    <n v="106"/>
    <n v="0.17"/>
    <n v="0.14000000000000001"/>
    <n v="0.4"/>
    <n v="0.28999999999999998"/>
    <n v="0.15"/>
    <n v="0.13"/>
    <n v="0.4"/>
    <n v="0.32"/>
    <n v="0.08"/>
    <n v="0.14000000000000001"/>
    <n v="0.28999999999999998"/>
    <n v="0.49"/>
    <n v="0.69"/>
    <n v="0.72"/>
    <n v="0.78"/>
    <n v="9.000000000000008E-2"/>
  </r>
  <r>
    <x v="4"/>
    <x v="0"/>
    <x v="6"/>
    <n v="106"/>
    <n v="0.18"/>
    <n v="0.18"/>
    <n v="0.45"/>
    <n v="0.19"/>
    <n v="0.22"/>
    <n v="0.13"/>
    <n v="0.38"/>
    <n v="0.27"/>
    <n v="0.12"/>
    <n v="0.05"/>
    <n v="0.45"/>
    <n v="0.38"/>
    <n v="0.64"/>
    <n v="0.65"/>
    <n v="0.83000000000000007"/>
    <n v="0.19000000000000006"/>
  </r>
  <r>
    <x v="4"/>
    <x v="0"/>
    <x v="3"/>
    <n v="106"/>
    <n v="0.15"/>
    <n v="0.17"/>
    <n v="0.68"/>
    <m/>
    <n v="0.13"/>
    <n v="7.0000000000000007E-2"/>
    <n v="0.8"/>
    <m/>
    <n v="0.03"/>
    <n v="0.04"/>
    <n v="0.93"/>
    <m/>
    <n v="0.68"/>
    <n v="0.8"/>
    <n v="0.93"/>
    <n v="0.25"/>
  </r>
  <r>
    <x v="4"/>
    <x v="0"/>
    <x v="5"/>
    <n v="106"/>
    <n v="0.24"/>
    <n v="0.13"/>
    <n v="0.32"/>
    <n v="0.31"/>
    <n v="0.2"/>
    <n v="0.18"/>
    <n v="0.33"/>
    <n v="0.28999999999999998"/>
    <n v="0.09"/>
    <n v="0.12"/>
    <n v="0.36"/>
    <n v="0.43"/>
    <n v="0.63"/>
    <n v="0.62"/>
    <n v="0.79"/>
    <n v="0.16000000000000003"/>
  </r>
  <r>
    <x v="4"/>
    <x v="0"/>
    <x v="4"/>
    <n v="106"/>
    <n v="0.1"/>
    <n v="0.14000000000000001"/>
    <n v="0.44"/>
    <n v="0.32"/>
    <n v="0.05"/>
    <n v="0.05"/>
    <n v="0.31"/>
    <n v="0.59"/>
    <n v="0.03"/>
    <n v="0.02"/>
    <n v="0.25"/>
    <n v="0.7"/>
    <n v="0.76"/>
    <n v="0.89999999999999991"/>
    <n v="0.95"/>
    <n v="0.18999999999999995"/>
  </r>
  <r>
    <x v="4"/>
    <x v="0"/>
    <x v="7"/>
    <n v="106"/>
    <n v="0.26"/>
    <n v="0.25"/>
    <n v="0.49"/>
    <m/>
    <n v="0.17"/>
    <n v="0.34"/>
    <n v="0.49"/>
    <m/>
    <n v="0.17"/>
    <n v="0.06"/>
    <n v="0.77"/>
    <m/>
    <n v="0.49"/>
    <n v="0.49"/>
    <n v="0.77"/>
    <n v="0.28000000000000003"/>
  </r>
  <r>
    <x v="4"/>
    <x v="0"/>
    <x v="0"/>
    <n v="106"/>
    <n v="0.25"/>
    <n v="0.1"/>
    <n v="0.39"/>
    <n v="0.26"/>
    <n v="0.19"/>
    <n v="0.12"/>
    <n v="0.39"/>
    <n v="0.3"/>
    <n v="0.16"/>
    <n v="0.09"/>
    <n v="0.28999999999999998"/>
    <n v="0.46"/>
    <n v="0.65"/>
    <n v="0.69"/>
    <n v="0.75"/>
    <n v="9.9999999999999978E-2"/>
  </r>
  <r>
    <x v="4"/>
    <x v="0"/>
    <x v="1"/>
    <n v="106"/>
    <n v="0.22"/>
    <n v="0.1"/>
    <n v="0.31"/>
    <n v="0.37"/>
    <n v="0.14000000000000001"/>
    <n v="0.16"/>
    <n v="0.34"/>
    <n v="0.36"/>
    <n v="0.12"/>
    <n v="0.2"/>
    <n v="0.22"/>
    <n v="0.46"/>
    <n v="0.67999999999999994"/>
    <n v="0.7"/>
    <n v="0.68"/>
    <n v="0"/>
  </r>
  <r>
    <x v="2"/>
    <x v="0"/>
    <x v="2"/>
    <n v="95"/>
    <n v="0.18"/>
    <n v="0.26"/>
    <n v="0.26"/>
    <n v="0.3"/>
    <n v="0.19"/>
    <n v="0.18"/>
    <n v="0.27"/>
    <n v="0.36"/>
    <n v="0.12"/>
    <n v="0.18"/>
    <n v="0.31"/>
    <n v="0.39"/>
    <n v="0.56000000000000005"/>
    <n v="0.63"/>
    <n v="0.7"/>
    <n v="0.1399999999999999"/>
  </r>
  <r>
    <x v="2"/>
    <x v="0"/>
    <x v="6"/>
    <n v="95"/>
    <n v="7.0000000000000007E-2"/>
    <n v="0.26"/>
    <n v="0.39"/>
    <n v="0.28000000000000003"/>
    <n v="0.14000000000000001"/>
    <n v="0.19"/>
    <n v="0.38"/>
    <n v="0.28999999999999998"/>
    <n v="0.12"/>
    <n v="0.14000000000000001"/>
    <n v="0.37"/>
    <n v="0.37"/>
    <n v="0.67"/>
    <n v="0.66999999999999993"/>
    <n v="0.74"/>
    <n v="6.9999999999999951E-2"/>
  </r>
  <r>
    <x v="2"/>
    <x v="0"/>
    <x v="3"/>
    <n v="95"/>
    <n v="0.2"/>
    <n v="0.22"/>
    <n v="0.57999999999999996"/>
    <m/>
    <n v="0.18"/>
    <n v="0.09"/>
    <n v="0.73"/>
    <m/>
    <n v="0.11"/>
    <n v="0.14000000000000001"/>
    <n v="0.75"/>
    <m/>
    <n v="0.57999999999999996"/>
    <n v="0.73"/>
    <n v="0.75"/>
    <n v="0.17000000000000004"/>
  </r>
  <r>
    <x v="2"/>
    <x v="0"/>
    <x v="5"/>
    <n v="95"/>
    <n v="0.27"/>
    <n v="0.15"/>
    <n v="0.26"/>
    <n v="0.32"/>
    <n v="0.19"/>
    <n v="0.27"/>
    <n v="0.19"/>
    <n v="0.35"/>
    <n v="0.15"/>
    <n v="0.16"/>
    <n v="0.34"/>
    <n v="0.35"/>
    <n v="0.58000000000000007"/>
    <n v="0.54"/>
    <n v="0.69"/>
    <n v="0.10999999999999988"/>
  </r>
  <r>
    <x v="2"/>
    <x v="0"/>
    <x v="4"/>
    <n v="95"/>
    <n v="0.05"/>
    <n v="0.22"/>
    <n v="0.5"/>
    <n v="0.23"/>
    <m/>
    <n v="0.09"/>
    <n v="0.4"/>
    <n v="0.46"/>
    <n v="0.01"/>
    <n v="0.04"/>
    <n v="0.4"/>
    <n v="0.55000000000000004"/>
    <n v="0.73"/>
    <n v="0.8600000000000001"/>
    <n v="0.95000000000000007"/>
    <n v="0.22000000000000008"/>
  </r>
  <r>
    <x v="2"/>
    <x v="0"/>
    <x v="7"/>
    <n v="95"/>
    <n v="0.35"/>
    <n v="0.22"/>
    <n v="0.43"/>
    <m/>
    <n v="0.21"/>
    <n v="0.33"/>
    <n v="0.46"/>
    <m/>
    <n v="0.19"/>
    <n v="0.14000000000000001"/>
    <n v="0.67"/>
    <m/>
    <n v="0.43"/>
    <n v="0.46"/>
    <n v="0.67"/>
    <n v="0.24000000000000005"/>
  </r>
  <r>
    <x v="2"/>
    <x v="0"/>
    <x v="0"/>
    <n v="95"/>
    <n v="0.3"/>
    <n v="0.13"/>
    <n v="0.33"/>
    <n v="0.24"/>
    <n v="0.24"/>
    <n v="0.16"/>
    <n v="0.25"/>
    <n v="0.35"/>
    <n v="0.21"/>
    <n v="0.13"/>
    <n v="0.22"/>
    <n v="0.44"/>
    <n v="0.57000000000000006"/>
    <n v="0.6"/>
    <n v="0.66"/>
    <n v="8.9999999999999969E-2"/>
  </r>
  <r>
    <x v="3"/>
    <x v="0"/>
    <x v="2"/>
    <n v="88"/>
    <n v="0.09"/>
    <n v="0.2"/>
    <n v="0.38"/>
    <n v="0.33"/>
    <n v="0.13"/>
    <n v="0.15"/>
    <n v="0.33"/>
    <n v="0.39"/>
    <n v="0.09"/>
    <n v="0.05"/>
    <n v="0.39"/>
    <n v="0.47"/>
    <n v="0.71"/>
    <n v="0.72"/>
    <n v="0.86"/>
    <n v="0.15000000000000002"/>
  </r>
  <r>
    <x v="3"/>
    <x v="0"/>
    <x v="6"/>
    <n v="88"/>
    <n v="0.06"/>
    <n v="0.11"/>
    <n v="0.55000000000000004"/>
    <n v="0.28000000000000003"/>
    <n v="0.08"/>
    <n v="0.2"/>
    <n v="0.48"/>
    <n v="0.24"/>
    <n v="0.06"/>
    <n v="0.01"/>
    <n v="0.5"/>
    <n v="0.43"/>
    <n v="0.83000000000000007"/>
    <n v="0.72"/>
    <n v="0.92999999999999994"/>
    <n v="9.9999999999999867E-2"/>
  </r>
  <r>
    <x v="3"/>
    <x v="0"/>
    <x v="3"/>
    <n v="88"/>
    <n v="0.17"/>
    <n v="0.2"/>
    <n v="0.63"/>
    <m/>
    <n v="0.23"/>
    <n v="7.0000000000000007E-2"/>
    <n v="0.7"/>
    <m/>
    <n v="7.0000000000000007E-2"/>
    <n v="0.09"/>
    <n v="0.84"/>
    <m/>
    <n v="0.63"/>
    <n v="0.7"/>
    <n v="0.84"/>
    <n v="0.20999999999999996"/>
  </r>
  <r>
    <x v="3"/>
    <x v="0"/>
    <x v="5"/>
    <n v="88"/>
    <n v="0.11"/>
    <n v="0.09"/>
    <n v="0.43"/>
    <n v="0.37"/>
    <n v="0.15"/>
    <n v="0.17"/>
    <n v="0.4"/>
    <n v="0.28000000000000003"/>
    <n v="0.04"/>
    <n v="0.06"/>
    <n v="0.45"/>
    <n v="0.44"/>
    <n v="0.8"/>
    <n v="0.68"/>
    <n v="0.89"/>
    <n v="8.9999999999999969E-2"/>
  </r>
  <r>
    <x v="3"/>
    <x v="0"/>
    <x v="4"/>
    <n v="88"/>
    <n v="7.0000000000000007E-2"/>
    <n v="0.11"/>
    <n v="0.32"/>
    <n v="0.5"/>
    <m/>
    <n v="0.1"/>
    <n v="0.26"/>
    <n v="0.61"/>
    <n v="0.01"/>
    <n v="0.01"/>
    <n v="0.26"/>
    <n v="0.72"/>
    <n v="0.82000000000000006"/>
    <n v="0.87"/>
    <n v="0.98"/>
    <n v="0.15999999999999992"/>
  </r>
  <r>
    <x v="3"/>
    <x v="0"/>
    <x v="7"/>
    <n v="88"/>
    <n v="0.27"/>
    <n v="0.17"/>
    <n v="0.56000000000000005"/>
    <m/>
    <n v="0.16"/>
    <n v="0.3"/>
    <n v="0.54"/>
    <m/>
    <n v="0.13"/>
    <n v="0.18"/>
    <n v="0.69"/>
    <m/>
    <n v="0.56000000000000005"/>
    <n v="0.54"/>
    <n v="0.69"/>
    <n v="0.12999999999999989"/>
  </r>
  <r>
    <x v="3"/>
    <x v="0"/>
    <x v="0"/>
    <n v="88"/>
    <n v="0.22"/>
    <n v="0.18"/>
    <n v="0.33"/>
    <n v="0.27"/>
    <n v="0.22"/>
    <n v="0.1"/>
    <n v="0.31"/>
    <n v="0.37"/>
    <n v="0.1"/>
    <n v="0.18"/>
    <n v="0.25"/>
    <n v="0.47"/>
    <n v="0.60000000000000009"/>
    <n v="0.67999999999999994"/>
    <n v="0.72"/>
    <n v="0.11999999999999988"/>
  </r>
  <r>
    <x v="0"/>
    <x v="1"/>
    <x v="2"/>
    <n v="96"/>
    <n v="0.45"/>
    <n v="0.14000000000000001"/>
    <n v="0.35"/>
    <n v="0.06"/>
    <n v="0.34"/>
    <n v="0.17"/>
    <n v="0.33"/>
    <n v="0.16"/>
    <n v="0.25"/>
    <n v="0.13"/>
    <n v="0.36"/>
    <n v="0.26"/>
    <n v="0.41"/>
    <n v="0.49"/>
    <n v="0.62"/>
    <n v="0.21000000000000002"/>
  </r>
  <r>
    <x v="0"/>
    <x v="1"/>
    <x v="5"/>
    <n v="96"/>
    <n v="0.47"/>
    <n v="0.14000000000000001"/>
    <n v="0.33"/>
    <n v="0.05"/>
    <n v="0.31"/>
    <n v="0.19"/>
    <n v="0.3"/>
    <n v="0.2"/>
    <n v="0.13"/>
    <n v="0.22"/>
    <n v="0.38"/>
    <n v="0.27"/>
    <n v="0.38"/>
    <n v="0.5"/>
    <n v="0.65"/>
    <n v="0.27"/>
  </r>
  <r>
    <x v="0"/>
    <x v="1"/>
    <x v="6"/>
    <n v="96"/>
    <n v="0.45"/>
    <n v="0.17"/>
    <n v="0.28000000000000003"/>
    <n v="0.09"/>
    <n v="0.3"/>
    <n v="0.19"/>
    <n v="0.34"/>
    <n v="0.17"/>
    <n v="0.17"/>
    <n v="0.11"/>
    <n v="0.46"/>
    <n v="0.26"/>
    <n v="0.37"/>
    <n v="0.51"/>
    <n v="0.72"/>
    <n v="0.35"/>
  </r>
  <r>
    <x v="0"/>
    <x v="1"/>
    <x v="1"/>
    <n v="96"/>
    <n v="0.35"/>
    <n v="0.18"/>
    <n v="0.35"/>
    <n v="0.11"/>
    <n v="0.31"/>
    <n v="0.18"/>
    <n v="0.31"/>
    <n v="0.2"/>
    <n v="0.26"/>
    <n v="0.17"/>
    <n v="0.3"/>
    <n v="0.27"/>
    <n v="0.45999999999999996"/>
    <n v="0.51"/>
    <n v="0.57000000000000006"/>
    <n v="0.1100000000000001"/>
  </r>
  <r>
    <x v="0"/>
    <x v="1"/>
    <x v="7"/>
    <n v="96"/>
    <n v="0.41"/>
    <n v="0.13"/>
    <n v="0.46"/>
    <m/>
    <n v="0.3"/>
    <n v="0.14000000000000001"/>
    <n v="0.56000000000000005"/>
    <m/>
    <n v="0.14000000000000001"/>
    <n v="0.06"/>
    <n v="0.8"/>
    <m/>
    <n v="0.46"/>
    <n v="0.56000000000000005"/>
    <n v="0.8"/>
    <n v="0.34"/>
  </r>
  <r>
    <x v="0"/>
    <x v="1"/>
    <x v="0"/>
    <n v="96"/>
    <n v="0.43"/>
    <n v="0.16"/>
    <n v="0.31"/>
    <n v="0.1"/>
    <n v="0.42"/>
    <n v="0.09"/>
    <n v="0.34"/>
    <n v="0.15"/>
    <n v="0.36"/>
    <n v="0.13"/>
    <n v="0.31"/>
    <n v="0.2"/>
    <n v="0.41000000000000003"/>
    <n v="0.49"/>
    <n v="0.51"/>
    <n v="9.9999999999999978E-2"/>
  </r>
  <r>
    <x v="0"/>
    <x v="1"/>
    <x v="8"/>
    <n v="96"/>
    <n v="0.55000000000000004"/>
    <n v="0.14000000000000001"/>
    <n v="0.15"/>
    <n v="0.16"/>
    <n v="0.42"/>
    <n v="0.1"/>
    <n v="0.36"/>
    <n v="0.12"/>
    <n v="0.36"/>
    <n v="0.14000000000000001"/>
    <n v="0.3"/>
    <n v="0.2"/>
    <n v="0.31"/>
    <n v="0.48"/>
    <n v="0.5"/>
    <n v="0.19"/>
  </r>
  <r>
    <x v="1"/>
    <x v="1"/>
    <x v="8"/>
    <n v="95"/>
    <n v="0.47"/>
    <n v="0.2"/>
    <n v="0.25"/>
    <n v="0.08"/>
    <n v="0.39"/>
    <n v="0.18"/>
    <n v="0.28999999999999998"/>
    <n v="0.14000000000000001"/>
    <n v="0.27"/>
    <n v="0.12"/>
    <n v="0.41"/>
    <n v="0.2"/>
    <n v="0.33"/>
    <n v="0.43"/>
    <n v="0.61"/>
    <n v="0.27999999999999997"/>
  </r>
  <r>
    <x v="1"/>
    <x v="1"/>
    <x v="2"/>
    <n v="95"/>
    <n v="0.4"/>
    <n v="0.1"/>
    <n v="0.4"/>
    <n v="0.1"/>
    <n v="0.2"/>
    <n v="0.22"/>
    <n v="0.38"/>
    <n v="0.2"/>
    <n v="0.11"/>
    <n v="0.15"/>
    <n v="0.48"/>
    <n v="0.26"/>
    <n v="0.5"/>
    <n v="0.58000000000000007"/>
    <n v="0.74"/>
    <n v="0.24"/>
  </r>
  <r>
    <x v="1"/>
    <x v="1"/>
    <x v="6"/>
    <n v="95"/>
    <n v="0.38"/>
    <n v="0.18"/>
    <n v="0.28999999999999998"/>
    <n v="0.15"/>
    <n v="0.19"/>
    <n v="0.13"/>
    <n v="0.45"/>
    <n v="0.23"/>
    <n v="7.0000000000000007E-2"/>
    <n v="0.08"/>
    <n v="0.53"/>
    <n v="0.32"/>
    <n v="0.43999999999999995"/>
    <n v="0.68"/>
    <n v="0.85000000000000009"/>
    <n v="0.41000000000000014"/>
  </r>
  <r>
    <x v="1"/>
    <x v="1"/>
    <x v="5"/>
    <n v="95"/>
    <n v="0.38"/>
    <n v="0.16"/>
    <n v="0.35"/>
    <n v="0.11"/>
    <n v="0.14000000000000001"/>
    <n v="0.19"/>
    <n v="0.4"/>
    <n v="0.27"/>
    <n v="0.06"/>
    <n v="0.15"/>
    <n v="0.46"/>
    <n v="0.33"/>
    <n v="0.45999999999999996"/>
    <n v="0.67"/>
    <n v="0.79"/>
    <n v="0.33000000000000007"/>
  </r>
  <r>
    <x v="1"/>
    <x v="1"/>
    <x v="7"/>
    <n v="95"/>
    <n v="0.36"/>
    <n v="0.21"/>
    <n v="0.43"/>
    <m/>
    <n v="0.14000000000000001"/>
    <n v="0.15"/>
    <n v="0.71"/>
    <m/>
    <n v="0.06"/>
    <n v="0.06"/>
    <n v="0.88"/>
    <m/>
    <n v="0.43"/>
    <n v="0.71"/>
    <n v="0.88"/>
    <n v="0.45"/>
  </r>
  <r>
    <x v="1"/>
    <x v="1"/>
    <x v="0"/>
    <n v="95"/>
    <n v="0.38"/>
    <n v="0.19"/>
    <n v="0.32"/>
    <n v="0.11"/>
    <n v="0.3"/>
    <n v="0.22"/>
    <n v="0.32"/>
    <n v="0.16"/>
    <n v="0.21"/>
    <n v="0.14000000000000001"/>
    <n v="0.34"/>
    <n v="0.31"/>
    <n v="0.43"/>
    <n v="0.48"/>
    <n v="0.65"/>
    <n v="0.22000000000000003"/>
  </r>
  <r>
    <x v="1"/>
    <x v="1"/>
    <x v="1"/>
    <n v="95"/>
    <n v="0.33"/>
    <n v="0.13"/>
    <n v="0.35"/>
    <n v="0.19"/>
    <n v="0.2"/>
    <n v="0.23"/>
    <n v="0.38"/>
    <n v="0.19"/>
    <n v="0.13"/>
    <n v="0.17"/>
    <n v="0.42"/>
    <n v="0.28000000000000003"/>
    <n v="0.54"/>
    <n v="0.57000000000000006"/>
    <n v="0.7"/>
    <n v="0.15999999999999992"/>
  </r>
  <r>
    <x v="4"/>
    <x v="1"/>
    <x v="8"/>
    <n v="113"/>
    <n v="0.51"/>
    <n v="0.17"/>
    <n v="0.23"/>
    <n v="0.09"/>
    <n v="0.34"/>
    <n v="0.14000000000000001"/>
    <n v="0.37"/>
    <n v="0.15"/>
    <n v="0.32"/>
    <n v="0.13"/>
    <n v="0.38"/>
    <n v="0.17"/>
    <n v="0.32"/>
    <n v="0.52"/>
    <n v="0.55000000000000004"/>
    <n v="0.23000000000000004"/>
  </r>
  <r>
    <x v="4"/>
    <x v="1"/>
    <x v="2"/>
    <n v="113"/>
    <n v="0.3"/>
    <n v="0.18"/>
    <n v="0.36"/>
    <n v="0.16"/>
    <n v="0.15"/>
    <n v="0.18"/>
    <n v="0.4"/>
    <n v="0.27"/>
    <n v="0.1"/>
    <n v="0.16"/>
    <n v="0.39"/>
    <n v="0.35"/>
    <n v="0.52"/>
    <n v="0.67"/>
    <n v="0.74"/>
    <n v="0.21999999999999997"/>
  </r>
  <r>
    <x v="4"/>
    <x v="1"/>
    <x v="6"/>
    <n v="113"/>
    <n v="0.24"/>
    <n v="0.18"/>
    <n v="0.35"/>
    <n v="0.23"/>
    <n v="7.0000000000000007E-2"/>
    <n v="0.11"/>
    <n v="0.5"/>
    <n v="0.32"/>
    <m/>
    <n v="0.09"/>
    <n v="0.42"/>
    <n v="0.45"/>
    <n v="0.57999999999999996"/>
    <n v="0.82000000000000006"/>
    <n v="0.87"/>
    <n v="0.29000000000000004"/>
  </r>
  <r>
    <x v="4"/>
    <x v="1"/>
    <x v="5"/>
    <n v="113"/>
    <n v="0.28999999999999998"/>
    <n v="0.16"/>
    <n v="0.38"/>
    <n v="0.17"/>
    <n v="0.09"/>
    <n v="0.15"/>
    <n v="0.41"/>
    <n v="0.35"/>
    <n v="0.05"/>
    <n v="0.13"/>
    <n v="0.38"/>
    <n v="0.44"/>
    <n v="0.55000000000000004"/>
    <n v="0.76"/>
    <n v="0.82000000000000006"/>
    <n v="0.27"/>
  </r>
  <r>
    <x v="4"/>
    <x v="1"/>
    <x v="7"/>
    <n v="113"/>
    <n v="0.31"/>
    <n v="0.18"/>
    <n v="0.51"/>
    <m/>
    <n v="0.15"/>
    <n v="0.14000000000000001"/>
    <n v="0.71"/>
    <m/>
    <n v="0.1"/>
    <m/>
    <n v="0.86"/>
    <m/>
    <n v="0.51"/>
    <n v="0.71"/>
    <n v="0.86"/>
    <n v="0.35"/>
  </r>
  <r>
    <x v="4"/>
    <x v="1"/>
    <x v="0"/>
    <n v="113"/>
    <n v="0.36"/>
    <n v="0.15"/>
    <n v="0.37"/>
    <n v="0.12"/>
    <n v="0.26"/>
    <n v="0.15"/>
    <n v="0.41"/>
    <n v="0.18"/>
    <n v="0.2"/>
    <n v="0.13"/>
    <n v="0.4"/>
    <n v="0.27"/>
    <n v="0.49"/>
    <n v="0.59"/>
    <n v="0.67"/>
    <n v="0.18000000000000005"/>
  </r>
  <r>
    <x v="4"/>
    <x v="1"/>
    <x v="1"/>
    <n v="113"/>
    <n v="0.26"/>
    <n v="0.13"/>
    <n v="0.36"/>
    <n v="0.25"/>
    <n v="0.19"/>
    <n v="0.16"/>
    <n v="0.38"/>
    <n v="0.27"/>
    <n v="0.14000000000000001"/>
    <n v="0.12"/>
    <n v="0.32"/>
    <n v="0.42"/>
    <n v="0.61"/>
    <n v="0.65"/>
    <n v="0.74"/>
    <n v="0.13"/>
  </r>
  <r>
    <x v="2"/>
    <x v="1"/>
    <x v="8"/>
    <n v="103"/>
    <n v="0.4"/>
    <n v="0.17"/>
    <n v="0.28999999999999998"/>
    <n v="0.14000000000000001"/>
    <n v="0.31"/>
    <n v="0.19"/>
    <n v="0.31"/>
    <n v="0.19"/>
    <n v="0.25"/>
    <n v="0.18"/>
    <n v="0.36"/>
    <n v="0.21"/>
    <n v="0.43"/>
    <n v="0.5"/>
    <n v="0.56999999999999995"/>
    <n v="0.13999999999999996"/>
  </r>
  <r>
    <x v="2"/>
    <x v="1"/>
    <x v="2"/>
    <n v="103"/>
    <n v="0.25"/>
    <n v="0.13"/>
    <n v="0.33"/>
    <n v="0.28999999999999998"/>
    <n v="0.18"/>
    <n v="0.15"/>
    <n v="0.33"/>
    <n v="0.34"/>
    <n v="0.15"/>
    <n v="0.1"/>
    <n v="0.36"/>
    <n v="0.39"/>
    <n v="0.62"/>
    <n v="0.67"/>
    <n v="0.75"/>
    <n v="0.13"/>
  </r>
  <r>
    <x v="2"/>
    <x v="1"/>
    <x v="6"/>
    <n v="103"/>
    <n v="0.2"/>
    <n v="0.18"/>
    <n v="0.25"/>
    <n v="0.37"/>
    <n v="0.11"/>
    <n v="0.09"/>
    <n v="0.44"/>
    <n v="0.36"/>
    <n v="0.09"/>
    <n v="0.08"/>
    <n v="0.43"/>
    <n v="0.4"/>
    <n v="0.62"/>
    <n v="0.8"/>
    <n v="0.83000000000000007"/>
    <n v="0.21000000000000008"/>
  </r>
  <r>
    <x v="2"/>
    <x v="1"/>
    <x v="5"/>
    <n v="103"/>
    <n v="0.22"/>
    <n v="0.14000000000000001"/>
    <n v="0.35"/>
    <n v="0.28999999999999998"/>
    <n v="0.15"/>
    <n v="0.17"/>
    <n v="0.28999999999999998"/>
    <n v="0.39"/>
    <n v="0.09"/>
    <n v="0.15"/>
    <n v="0.37"/>
    <n v="0.39"/>
    <n v="0.6399999999999999"/>
    <n v="0.67999999999999994"/>
    <n v="0.76"/>
    <n v="0.12000000000000011"/>
  </r>
  <r>
    <x v="2"/>
    <x v="1"/>
    <x v="7"/>
    <n v="103"/>
    <n v="0.27"/>
    <n v="0.1"/>
    <n v="0.63"/>
    <m/>
    <n v="0.17"/>
    <n v="0.09"/>
    <n v="0.74"/>
    <m/>
    <n v="0.08"/>
    <m/>
    <n v="0.88"/>
    <m/>
    <n v="0.63"/>
    <n v="0.74"/>
    <n v="0.88"/>
    <n v="0.25"/>
  </r>
  <r>
    <x v="2"/>
    <x v="1"/>
    <x v="0"/>
    <n v="103"/>
    <n v="0.31"/>
    <n v="0.08"/>
    <n v="0.38"/>
    <n v="0.23"/>
    <n v="0.23"/>
    <n v="0.15"/>
    <n v="0.33"/>
    <n v="0.28999999999999998"/>
    <n v="0.21"/>
    <n v="0.1"/>
    <n v="0.34"/>
    <n v="0.35"/>
    <n v="0.61"/>
    <n v="0.62"/>
    <n v="0.69"/>
    <n v="7.999999999999996E-2"/>
  </r>
  <r>
    <x v="2"/>
    <x v="1"/>
    <x v="1"/>
    <n v="103"/>
    <n v="0.25"/>
    <n v="0.12"/>
    <n v="0.36"/>
    <n v="0.27"/>
    <n v="0.18"/>
    <n v="0.14000000000000001"/>
    <n v="0.28999999999999998"/>
    <n v="0.39"/>
    <n v="0.15"/>
    <n v="0.09"/>
    <n v="0.33"/>
    <n v="0.43"/>
    <n v="0.63"/>
    <n v="0.67999999999999994"/>
    <n v="0.76"/>
    <n v="0.13"/>
  </r>
  <r>
    <x v="3"/>
    <x v="1"/>
    <x v="8"/>
    <n v="95"/>
    <n v="0.39"/>
    <n v="0.21"/>
    <n v="0.25"/>
    <n v="0.15"/>
    <n v="0.41"/>
    <n v="0.1"/>
    <n v="0.3"/>
    <n v="0.19"/>
    <n v="0.36"/>
    <n v="0.11"/>
    <n v="0.34"/>
    <n v="0.19"/>
    <n v="0.4"/>
    <n v="0.49"/>
    <n v="0.53"/>
    <n v="0.13"/>
  </r>
  <r>
    <x v="3"/>
    <x v="1"/>
    <x v="2"/>
    <n v="95"/>
    <n v="0.3"/>
    <n v="0.16"/>
    <n v="0.27"/>
    <n v="0.27"/>
    <n v="0.2"/>
    <n v="0.17"/>
    <n v="0.36"/>
    <n v="0.27"/>
    <n v="0.19"/>
    <n v="0.15"/>
    <n v="0.38"/>
    <n v="0.28000000000000003"/>
    <n v="0.54"/>
    <n v="0.63"/>
    <n v="0.66"/>
    <n v="0.12"/>
  </r>
  <r>
    <x v="3"/>
    <x v="1"/>
    <x v="6"/>
    <n v="95"/>
    <n v="0.27"/>
    <n v="0.18"/>
    <n v="0.24"/>
    <n v="0.31"/>
    <n v="0.15"/>
    <n v="0.08"/>
    <n v="0.45"/>
    <n v="0.32"/>
    <n v="0.06"/>
    <n v="0.15"/>
    <n v="0.41"/>
    <n v="0.38"/>
    <n v="0.55000000000000004"/>
    <n v="0.77"/>
    <n v="0.79"/>
    <n v="0.24"/>
  </r>
  <r>
    <x v="3"/>
    <x v="1"/>
    <x v="5"/>
    <n v="95"/>
    <n v="0.27"/>
    <n v="0.16"/>
    <n v="0.27"/>
    <n v="0.3"/>
    <n v="0.18"/>
    <n v="0.11"/>
    <n v="0.36"/>
    <n v="0.35"/>
    <n v="0.06"/>
    <n v="0.17"/>
    <n v="0.39"/>
    <n v="0.38"/>
    <n v="0.57000000000000006"/>
    <n v="0.71"/>
    <n v="0.77"/>
    <n v="0.19999999999999996"/>
  </r>
  <r>
    <x v="3"/>
    <x v="1"/>
    <x v="7"/>
    <n v="95"/>
    <n v="0.31"/>
    <n v="0.11"/>
    <n v="0.57999999999999996"/>
    <m/>
    <n v="0.16"/>
    <n v="0.18"/>
    <n v="0.66"/>
    <m/>
    <n v="0.1"/>
    <n v="0.08"/>
    <n v="0.82"/>
    <m/>
    <n v="0.57999999999999996"/>
    <n v="0.66"/>
    <n v="0.82"/>
    <n v="0.24"/>
  </r>
  <r>
    <x v="3"/>
    <x v="1"/>
    <x v="0"/>
    <n v="95"/>
    <n v="0.31"/>
    <n v="0.17"/>
    <n v="0.37"/>
    <n v="0.15"/>
    <n v="0.26"/>
    <n v="0.17"/>
    <n v="0.34"/>
    <n v="0.23"/>
    <n v="0.28000000000000003"/>
    <n v="0.2"/>
    <n v="0.27"/>
    <n v="0.25"/>
    <n v="0.52"/>
    <n v="0.57000000000000006"/>
    <n v="0.52"/>
    <n v="0"/>
  </r>
  <r>
    <x v="3"/>
    <x v="1"/>
    <x v="1"/>
    <n v="95"/>
    <n v="0.28999999999999998"/>
    <n v="0.14000000000000001"/>
    <n v="0.24"/>
    <n v="0.33"/>
    <n v="0.24"/>
    <n v="0.13"/>
    <n v="0.33"/>
    <n v="0.3"/>
    <n v="0.16"/>
    <n v="0.15"/>
    <n v="0.37"/>
    <n v="0.32"/>
    <n v="0.57000000000000006"/>
    <n v="0.63"/>
    <n v="0.69"/>
    <n v="0.11999999999999988"/>
  </r>
  <r>
    <x v="0"/>
    <x v="2"/>
    <x v="2"/>
    <n v="104"/>
    <n v="0.47"/>
    <n v="0.25"/>
    <n v="0.24"/>
    <m/>
    <n v="0.4"/>
    <n v="0.14000000000000001"/>
    <n v="0.34"/>
    <n v="0.12"/>
    <n v="0.34"/>
    <n v="0.17"/>
    <n v="0.2"/>
    <n v="0.28999999999999998"/>
    <n v="0.24"/>
    <n v="0.46"/>
    <n v="0.49"/>
    <n v="0.25"/>
  </r>
  <r>
    <x v="0"/>
    <x v="2"/>
    <x v="5"/>
    <n v="104"/>
    <n v="0.53"/>
    <n v="0.22"/>
    <n v="0.2"/>
    <n v="0.05"/>
    <n v="0.46"/>
    <n v="0.09"/>
    <n v="0.3"/>
    <n v="0.15"/>
    <n v="0.31"/>
    <n v="0.2"/>
    <n v="0.26"/>
    <n v="0.23"/>
    <n v="0.25"/>
    <n v="0.44999999999999996"/>
    <n v="0.49"/>
    <n v="0.24"/>
  </r>
  <r>
    <x v="0"/>
    <x v="2"/>
    <x v="6"/>
    <n v="104"/>
    <n v="0.61"/>
    <n v="0.16"/>
    <n v="0.15"/>
    <n v="0.08"/>
    <n v="0.41"/>
    <n v="0.13"/>
    <n v="0.36"/>
    <n v="0.1"/>
    <n v="0.28000000000000003"/>
    <n v="0.18"/>
    <n v="0.33"/>
    <n v="0.21"/>
    <n v="0.22999999999999998"/>
    <n v="0.45999999999999996"/>
    <n v="0.54"/>
    <n v="0.31000000000000005"/>
  </r>
  <r>
    <x v="0"/>
    <x v="2"/>
    <x v="1"/>
    <n v="104"/>
    <n v="0.43"/>
    <n v="0.26"/>
    <n v="0.26"/>
    <n v="0.05"/>
    <n v="0.37"/>
    <n v="0.17"/>
    <n v="0.35"/>
    <n v="0.11"/>
    <n v="0.44"/>
    <n v="0.1"/>
    <n v="0.33"/>
    <n v="0.13"/>
    <n v="0.31"/>
    <n v="0.45999999999999996"/>
    <n v="0.46"/>
    <n v="0.15000000000000002"/>
  </r>
  <r>
    <x v="0"/>
    <x v="2"/>
    <x v="7"/>
    <n v="104"/>
    <n v="0.37"/>
    <n v="0.26"/>
    <n v="0.37"/>
    <m/>
    <n v="0.1"/>
    <n v="0.16"/>
    <n v="0.74"/>
    <m/>
    <n v="0.05"/>
    <n v="0.05"/>
    <n v="0.9"/>
    <m/>
    <n v="0.37"/>
    <n v="0.74"/>
    <n v="0.9"/>
    <n v="0.53"/>
  </r>
  <r>
    <x v="0"/>
    <x v="2"/>
    <x v="0"/>
    <n v="104"/>
    <n v="0.5"/>
    <n v="0.2"/>
    <n v="0.23"/>
    <n v="7.0000000000000007E-2"/>
    <n v="0.35"/>
    <n v="0.25"/>
    <n v="0.3"/>
    <n v="0.1"/>
    <n v="0.31"/>
    <n v="0.21"/>
    <n v="0.21"/>
    <n v="0.27"/>
    <n v="0.30000000000000004"/>
    <n v="0.4"/>
    <n v="0.48"/>
    <n v="0.17999999999999994"/>
  </r>
  <r>
    <x v="0"/>
    <x v="2"/>
    <x v="8"/>
    <n v="104"/>
    <n v="0.52"/>
    <n v="0.22"/>
    <n v="0.21"/>
    <n v="0.05"/>
    <n v="0.47"/>
    <n v="0.13"/>
    <n v="0.28999999999999998"/>
    <n v="0.11"/>
    <n v="0.31"/>
    <n v="0.16"/>
    <n v="0.34"/>
    <n v="0.19"/>
    <n v="0.26"/>
    <n v="0.39999999999999997"/>
    <n v="0.53"/>
    <n v="0.27"/>
  </r>
  <r>
    <x v="1"/>
    <x v="2"/>
    <x v="8"/>
    <n v="119"/>
    <n v="0.32"/>
    <n v="0.17"/>
    <n v="0.3"/>
    <n v="0.21"/>
    <n v="0.37"/>
    <n v="0.15"/>
    <n v="0.33"/>
    <n v="0.15"/>
    <n v="0.25"/>
    <n v="0.18"/>
    <n v="0.35"/>
    <n v="0.22"/>
    <n v="0.51"/>
    <n v="0.48"/>
    <n v="0.56999999999999995"/>
    <n v="5.9999999999999942E-2"/>
  </r>
  <r>
    <x v="1"/>
    <x v="2"/>
    <x v="2"/>
    <n v="119"/>
    <n v="0.31"/>
    <n v="0.25"/>
    <n v="0.34"/>
    <n v="0.1"/>
    <n v="0.28999999999999998"/>
    <n v="0.15"/>
    <n v="0.41"/>
    <n v="0.15"/>
    <n v="0.2"/>
    <n v="0.25"/>
    <n v="0.25"/>
    <n v="0.3"/>
    <n v="0.44000000000000006"/>
    <n v="0.55999999999999994"/>
    <n v="0.55000000000000004"/>
    <n v="0.10999999999999999"/>
  </r>
  <r>
    <x v="1"/>
    <x v="2"/>
    <x v="6"/>
    <n v="119"/>
    <n v="0.36"/>
    <n v="0.24"/>
    <n v="0.28000000000000003"/>
    <n v="0.12"/>
    <n v="0.2"/>
    <n v="0.2"/>
    <n v="0.49"/>
    <n v="0.11"/>
    <n v="0.15"/>
    <n v="0.15"/>
    <n v="0.46"/>
    <n v="0.24"/>
    <n v="0.4"/>
    <n v="0.6"/>
    <n v="0.7"/>
    <n v="0.29999999999999993"/>
  </r>
  <r>
    <x v="1"/>
    <x v="2"/>
    <x v="5"/>
    <n v="119"/>
    <n v="0.24"/>
    <n v="0.3"/>
    <n v="0.36"/>
    <n v="0.1"/>
    <n v="0.24"/>
    <n v="0.18"/>
    <n v="0.45"/>
    <n v="0.13"/>
    <n v="0.19"/>
    <n v="0.24"/>
    <n v="0.31"/>
    <n v="0.26"/>
    <n v="0.45999999999999996"/>
    <n v="0.58000000000000007"/>
    <n v="0.57000000000000006"/>
    <n v="0.1100000000000001"/>
  </r>
  <r>
    <x v="1"/>
    <x v="2"/>
    <x v="7"/>
    <n v="119"/>
    <n v="0.31"/>
    <n v="0.21"/>
    <n v="0.48"/>
    <m/>
    <n v="0.09"/>
    <n v="0.16"/>
    <n v="0.75"/>
    <m/>
    <n v="0.06"/>
    <m/>
    <n v="0.93"/>
    <m/>
    <n v="0.48"/>
    <n v="0.75"/>
    <n v="0.93"/>
    <n v="0.45000000000000007"/>
  </r>
  <r>
    <x v="1"/>
    <x v="2"/>
    <x v="0"/>
    <n v="119"/>
    <n v="0.37"/>
    <n v="0.18"/>
    <n v="0.28999999999999998"/>
    <n v="0.16"/>
    <n v="0.34"/>
    <n v="0.19"/>
    <n v="0.32"/>
    <n v="0.15"/>
    <n v="0.24"/>
    <n v="0.19"/>
    <n v="0.18"/>
    <n v="0.39"/>
    <n v="0.44999999999999996"/>
    <n v="0.47"/>
    <n v="0.57000000000000006"/>
    <n v="0.12000000000000011"/>
  </r>
  <r>
    <x v="1"/>
    <x v="2"/>
    <x v="1"/>
    <n v="119"/>
    <n v="0.3"/>
    <n v="0.25"/>
    <n v="0.27"/>
    <n v="0.18"/>
    <n v="0.32"/>
    <n v="0.22"/>
    <n v="0.26"/>
    <n v="0.2"/>
    <n v="0.33"/>
    <n v="0.12"/>
    <n v="0.27"/>
    <n v="0.28000000000000003"/>
    <n v="0.45"/>
    <n v="0.46"/>
    <n v="0.55000000000000004"/>
    <n v="0.10000000000000003"/>
  </r>
  <r>
    <x v="4"/>
    <x v="2"/>
    <x v="8"/>
    <n v="96"/>
    <n v="0.24"/>
    <n v="0.2"/>
    <n v="0.39"/>
    <n v="0.17"/>
    <n v="0.26"/>
    <n v="7.0000000000000007E-2"/>
    <n v="0.44"/>
    <n v="0.23"/>
    <n v="0.18"/>
    <n v="0.1"/>
    <n v="0.45"/>
    <n v="0.27"/>
    <n v="0.56000000000000005"/>
    <n v="0.67"/>
    <n v="0.72"/>
    <n v="0.15999999999999992"/>
  </r>
  <r>
    <x v="4"/>
    <x v="2"/>
    <x v="2"/>
    <n v="96"/>
    <n v="0.2"/>
    <n v="0.22"/>
    <n v="0.4"/>
    <n v="0.18"/>
    <n v="0.21"/>
    <n v="0.13"/>
    <n v="0.48"/>
    <n v="0.18"/>
    <n v="0.15"/>
    <n v="0.18"/>
    <n v="0.36"/>
    <n v="0.31"/>
    <n v="0.58000000000000007"/>
    <n v="0.65999999999999992"/>
    <n v="0.66999999999999993"/>
    <n v="8.9999999999999858E-2"/>
  </r>
  <r>
    <x v="4"/>
    <x v="2"/>
    <x v="6"/>
    <n v="96"/>
    <n v="0.24"/>
    <n v="0.17"/>
    <n v="0.31"/>
    <n v="0.28000000000000003"/>
    <n v="0.17"/>
    <n v="0.13"/>
    <n v="0.55000000000000004"/>
    <n v="0.15"/>
    <n v="0.12"/>
    <n v="7.0000000000000007E-2"/>
    <n v="0.56000000000000005"/>
    <n v="0.25"/>
    <n v="0.59000000000000008"/>
    <n v="0.70000000000000007"/>
    <n v="0.81"/>
    <n v="0.21999999999999997"/>
  </r>
  <r>
    <x v="4"/>
    <x v="2"/>
    <x v="5"/>
    <n v="96"/>
    <n v="0.16"/>
    <n v="0.22"/>
    <n v="0.4"/>
    <n v="0.22"/>
    <n v="0.21"/>
    <n v="0.08"/>
    <n v="0.51"/>
    <n v="0.2"/>
    <n v="0.14000000000000001"/>
    <n v="0.16"/>
    <n v="0.4"/>
    <n v="0.3"/>
    <n v="0.62"/>
    <n v="0.71"/>
    <n v="0.7"/>
    <n v="7.999999999999996E-2"/>
  </r>
  <r>
    <x v="4"/>
    <x v="2"/>
    <x v="7"/>
    <n v="96"/>
    <n v="0.27"/>
    <n v="0.26"/>
    <n v="0.47"/>
    <m/>
    <n v="0.08"/>
    <n v="0.05"/>
    <n v="0.87"/>
    <m/>
    <n v="0.03"/>
    <n v="0.04"/>
    <n v="0.93"/>
    <m/>
    <n v="0.47"/>
    <n v="0.87"/>
    <n v="0.93"/>
    <n v="0.46000000000000008"/>
  </r>
  <r>
    <x v="4"/>
    <x v="2"/>
    <x v="0"/>
    <n v="96"/>
    <n v="0.31"/>
    <n v="0.16"/>
    <n v="0.35"/>
    <n v="0.18"/>
    <n v="0.25"/>
    <n v="0.23"/>
    <n v="0.35"/>
    <n v="0.17"/>
    <n v="0.16"/>
    <n v="0.23"/>
    <n v="0.26"/>
    <n v="0.35"/>
    <n v="0.53"/>
    <n v="0.52"/>
    <n v="0.61"/>
    <n v="7.999999999999996E-2"/>
  </r>
  <r>
    <x v="4"/>
    <x v="2"/>
    <x v="1"/>
    <n v="96"/>
    <n v="0.3"/>
    <n v="0.13"/>
    <n v="0.37"/>
    <n v="0.2"/>
    <n v="0.24"/>
    <n v="0.16"/>
    <n v="0.36"/>
    <n v="0.24"/>
    <n v="0.27"/>
    <n v="0.08"/>
    <n v="0.35"/>
    <n v="0.3"/>
    <n v="0.57000000000000006"/>
    <n v="0.6"/>
    <n v="0.64999999999999991"/>
    <n v="7.9999999999999849E-2"/>
  </r>
  <r>
    <x v="2"/>
    <x v="2"/>
    <x v="8"/>
    <n v="120"/>
    <n v="0.25"/>
    <n v="0.2"/>
    <n v="0.32"/>
    <n v="0.23"/>
    <n v="0.24"/>
    <n v="0.1"/>
    <n v="0.35"/>
    <n v="0.31"/>
    <n v="0.26"/>
    <n v="0.1"/>
    <n v="0.41"/>
    <n v="0.23"/>
    <n v="0.55000000000000004"/>
    <n v="0.65999999999999992"/>
    <n v="0.64"/>
    <n v="8.9999999999999969E-2"/>
  </r>
  <r>
    <x v="2"/>
    <x v="2"/>
    <x v="2"/>
    <n v="120"/>
    <n v="0.19"/>
    <n v="0.24"/>
    <n v="0.31"/>
    <n v="0.26"/>
    <n v="0.16"/>
    <n v="0.2"/>
    <n v="0.36"/>
    <n v="0.28000000000000003"/>
    <n v="0.13"/>
    <n v="0.23"/>
    <n v="0.25"/>
    <n v="0.39"/>
    <n v="0.57000000000000006"/>
    <n v="0.64"/>
    <n v="0.64"/>
    <n v="6.9999999999999951E-2"/>
  </r>
  <r>
    <x v="2"/>
    <x v="2"/>
    <x v="6"/>
    <n v="120"/>
    <n v="0.28000000000000003"/>
    <n v="0.11"/>
    <n v="0.27"/>
    <n v="0.34"/>
    <n v="0.14000000000000001"/>
    <n v="0.17"/>
    <n v="0.44"/>
    <n v="0.25"/>
    <n v="0.16"/>
    <n v="0.13"/>
    <n v="0.32"/>
    <n v="0.39"/>
    <n v="0.6100000000000001"/>
    <n v="0.69"/>
    <n v="0.71"/>
    <n v="9.9999999999999867E-2"/>
  </r>
  <r>
    <x v="2"/>
    <x v="2"/>
    <x v="5"/>
    <n v="120"/>
    <n v="0.18"/>
    <n v="0.15"/>
    <n v="0.4"/>
    <n v="0.27"/>
    <n v="0.19"/>
    <n v="0.1"/>
    <n v="0.39"/>
    <n v="0.32"/>
    <n v="0.13"/>
    <n v="0.23"/>
    <n v="0.23"/>
    <n v="0.41"/>
    <n v="0.67"/>
    <n v="0.71"/>
    <n v="0.64"/>
    <n v="-3.0000000000000027E-2"/>
  </r>
  <r>
    <x v="2"/>
    <x v="2"/>
    <x v="7"/>
    <n v="120"/>
    <n v="0.28999999999999998"/>
    <n v="0.17"/>
    <n v="0.54"/>
    <m/>
    <n v="0.09"/>
    <n v="0.14000000000000001"/>
    <n v="0.77"/>
    <m/>
    <m/>
    <m/>
    <n v="0.93"/>
    <m/>
    <n v="0.54"/>
    <n v="0.77"/>
    <n v="0.93"/>
    <n v="0.39"/>
  </r>
  <r>
    <x v="2"/>
    <x v="2"/>
    <x v="0"/>
    <n v="120"/>
    <n v="0.28999999999999998"/>
    <n v="0.17"/>
    <n v="0.28999999999999998"/>
    <n v="0.25"/>
    <n v="0.23"/>
    <n v="0.17"/>
    <n v="0.36"/>
    <n v="0.24"/>
    <n v="0.2"/>
    <n v="0.11"/>
    <n v="0.28000000000000003"/>
    <n v="0.41"/>
    <n v="0.54"/>
    <n v="0.6"/>
    <n v="0.69"/>
    <n v="0.14999999999999991"/>
  </r>
  <r>
    <x v="2"/>
    <x v="2"/>
    <x v="1"/>
    <n v="120"/>
    <n v="0.24"/>
    <n v="0.14000000000000001"/>
    <n v="0.34"/>
    <n v="0.28000000000000003"/>
    <n v="0.17"/>
    <n v="0.23"/>
    <n v="0.28999999999999998"/>
    <n v="0.31"/>
    <n v="0.28000000000000003"/>
    <n v="0.11"/>
    <n v="0.34"/>
    <n v="0.27"/>
    <n v="0.62000000000000011"/>
    <n v="0.6"/>
    <n v="0.6100000000000001"/>
    <n v="-1.0000000000000009E-2"/>
  </r>
  <r>
    <x v="3"/>
    <x v="2"/>
    <x v="8"/>
    <n v="100"/>
    <n v="0.25"/>
    <n v="0.2"/>
    <n v="0.31"/>
    <n v="0.24"/>
    <n v="0.24"/>
    <n v="0.08"/>
    <n v="0.34"/>
    <n v="0.34"/>
    <n v="0.19"/>
    <n v="0.12"/>
    <n v="0.32"/>
    <n v="0.37"/>
    <n v="0.55000000000000004"/>
    <n v="0.68"/>
    <n v="0.69"/>
    <n v="0.1399999999999999"/>
  </r>
  <r>
    <x v="3"/>
    <x v="2"/>
    <x v="2"/>
    <n v="100"/>
    <n v="0.2"/>
    <n v="0.13"/>
    <n v="0.38"/>
    <n v="0.28999999999999998"/>
    <n v="0.17"/>
    <n v="0.11"/>
    <n v="0.39"/>
    <n v="0.33"/>
    <n v="0.14000000000000001"/>
    <n v="0.19"/>
    <n v="0.21"/>
    <n v="0.46"/>
    <n v="0.66999999999999993"/>
    <n v="0.72"/>
    <n v="0.67"/>
    <n v="0"/>
  </r>
  <r>
    <x v="3"/>
    <x v="2"/>
    <x v="6"/>
    <n v="100"/>
    <n v="0.2"/>
    <n v="0.19"/>
    <n v="0.28000000000000003"/>
    <n v="0.33"/>
    <n v="0.13"/>
    <n v="0.19"/>
    <n v="0.37"/>
    <n v="0.31"/>
    <n v="0.16"/>
    <n v="0.15"/>
    <n v="0.28999999999999998"/>
    <n v="0.4"/>
    <n v="0.6100000000000001"/>
    <n v="0.67999999999999994"/>
    <n v="0.69"/>
    <n v="7.9999999999999849E-2"/>
  </r>
  <r>
    <x v="3"/>
    <x v="2"/>
    <x v="5"/>
    <n v="100"/>
    <n v="0.17"/>
    <n v="0.2"/>
    <n v="0.37"/>
    <n v="0.26"/>
    <n v="0.15"/>
    <n v="0.15"/>
    <n v="0.32"/>
    <n v="0.38"/>
    <n v="0.18"/>
    <n v="0.18"/>
    <n v="0.17"/>
    <n v="0.47"/>
    <n v="0.63"/>
    <n v="0.7"/>
    <n v="0.64"/>
    <n v="1.0000000000000009E-2"/>
  </r>
  <r>
    <x v="3"/>
    <x v="2"/>
    <x v="7"/>
    <n v="100"/>
    <n v="0.28999999999999998"/>
    <n v="0.19"/>
    <n v="0.52"/>
    <m/>
    <n v="0.08"/>
    <n v="0.09"/>
    <n v="0.83"/>
    <m/>
    <m/>
    <m/>
    <n v="0.96"/>
    <m/>
    <n v="0.52"/>
    <n v="0.83"/>
    <n v="0.96"/>
    <n v="0.43999999999999995"/>
  </r>
  <r>
    <x v="3"/>
    <x v="2"/>
    <x v="0"/>
    <n v="100"/>
    <n v="0.27"/>
    <n v="0.09"/>
    <n v="0.36"/>
    <n v="0.28000000000000003"/>
    <n v="0.17"/>
    <n v="0.2"/>
    <n v="0.32"/>
    <n v="0.31"/>
    <n v="0.14000000000000001"/>
    <n v="0.16"/>
    <n v="0.2"/>
    <n v="0.5"/>
    <n v="0.64"/>
    <n v="0.63"/>
    <n v="0.7"/>
    <n v="5.9999999999999942E-2"/>
  </r>
  <r>
    <x v="3"/>
    <x v="2"/>
    <x v="1"/>
    <n v="100"/>
    <n v="0.21"/>
    <n v="0.11"/>
    <n v="0.34"/>
    <n v="0.34"/>
    <n v="0.18"/>
    <n v="0.08"/>
    <n v="0.39"/>
    <n v="0.35"/>
    <n v="0.23"/>
    <n v="0.08"/>
    <n v="0.25"/>
    <n v="0.44"/>
    <n v="0.68"/>
    <n v="0.74"/>
    <n v="0.69"/>
    <n v="9.9999999999998979E-3"/>
  </r>
  <r>
    <x v="3"/>
    <x v="3"/>
    <x v="8"/>
    <n v="114"/>
    <n v="0.28000000000000003"/>
    <n v="0.17"/>
    <n v="0.28000000000000003"/>
    <n v="0.27"/>
    <n v="0.18"/>
    <n v="0.16"/>
    <n v="0.32"/>
    <n v="0.34"/>
    <n v="0.32"/>
    <n v="0.16"/>
    <n v="0.39"/>
    <n v="0.13"/>
    <n v="0.55000000000000004"/>
    <n v="0.66"/>
    <n v="0.52"/>
    <n v="-3.0000000000000027E-2"/>
  </r>
  <r>
    <x v="3"/>
    <x v="3"/>
    <x v="2"/>
    <n v="114"/>
    <n v="0.13"/>
    <n v="0.34"/>
    <n v="0.39"/>
    <n v="0.14000000000000001"/>
    <n v="0.2"/>
    <n v="0.19"/>
    <n v="0.31"/>
    <n v="0.3"/>
    <n v="0.22"/>
    <n v="0.28000000000000003"/>
    <n v="0.27"/>
    <n v="0.23"/>
    <n v="0.53"/>
    <n v="0.61"/>
    <n v="0.5"/>
    <n v="-3.0000000000000027E-2"/>
  </r>
  <r>
    <x v="3"/>
    <x v="3"/>
    <x v="6"/>
    <n v="114"/>
    <n v="0.4"/>
    <n v="0.4"/>
    <n v="0.2"/>
    <m/>
    <n v="0.75"/>
    <m/>
    <n v="0.25"/>
    <m/>
    <n v="0.75"/>
    <m/>
    <n v="0.25"/>
    <m/>
    <n v="0.2"/>
    <n v="0.25"/>
    <n v="0.25"/>
    <n v="4.9999999999999989E-2"/>
  </r>
  <r>
    <x v="3"/>
    <x v="3"/>
    <x v="5"/>
    <n v="114"/>
    <n v="0.4"/>
    <n v="0.4"/>
    <n v="0.2"/>
    <m/>
    <n v="0.75"/>
    <m/>
    <n v="0.25"/>
    <m/>
    <n v="0.75"/>
    <m/>
    <n v="0.25"/>
    <m/>
    <n v="0.2"/>
    <n v="0.25"/>
    <n v="0.25"/>
    <n v="4.9999999999999989E-2"/>
  </r>
  <r>
    <x v="3"/>
    <x v="3"/>
    <x v="7"/>
    <n v="114"/>
    <n v="0.15"/>
    <n v="0.28999999999999998"/>
    <n v="0.56000000000000005"/>
    <m/>
    <n v="0.03"/>
    <n v="0.05"/>
    <n v="0.92"/>
    <m/>
    <n v="0.04"/>
    <n v="0.06"/>
    <n v="0.9"/>
    <m/>
    <n v="0.56000000000000005"/>
    <n v="0.92"/>
    <n v="0.9"/>
    <n v="0.33999999999999997"/>
  </r>
  <r>
    <x v="3"/>
    <x v="3"/>
    <x v="0"/>
    <n v="114"/>
    <n v="0.15"/>
    <n v="0.32"/>
    <n v="0.4"/>
    <n v="0.13"/>
    <n v="0.19"/>
    <n v="0.21"/>
    <n v="0.3"/>
    <n v="0.3"/>
    <n v="0.2"/>
    <n v="0.32"/>
    <n v="0.37"/>
    <n v="0.11"/>
    <n v="0.53"/>
    <n v="0.6"/>
    <n v="0.48"/>
    <n v="-5.0000000000000044E-2"/>
  </r>
  <r>
    <x v="3"/>
    <x v="3"/>
    <x v="1"/>
    <n v="114"/>
    <n v="0.6"/>
    <n v="0.4"/>
    <m/>
    <m/>
    <n v="0.75"/>
    <n v="0.25"/>
    <m/>
    <m/>
    <n v="0.75"/>
    <n v="0.25"/>
    <m/>
    <m/>
    <n v="0"/>
    <n v="0"/>
    <n v="0"/>
    <n v="0"/>
  </r>
  <r>
    <x v="3"/>
    <x v="4"/>
    <x v="8"/>
    <n v="100"/>
    <n v="0.3"/>
    <n v="0.12"/>
    <n v="0.31"/>
    <n v="0.27"/>
    <n v="0.21"/>
    <n v="0.11"/>
    <n v="0.46"/>
    <n v="0.22"/>
    <n v="0.11"/>
    <n v="0.09"/>
    <n v="0.53"/>
    <n v="0.27"/>
    <n v="0.58000000000000007"/>
    <n v="0.68"/>
    <n v="0.8"/>
    <n v="0.21999999999999997"/>
  </r>
  <r>
    <x v="3"/>
    <x v="4"/>
    <x v="2"/>
    <n v="100"/>
    <n v="0.23"/>
    <n v="0.21"/>
    <n v="0.35"/>
    <n v="0.21"/>
    <n v="0.25"/>
    <n v="0.16"/>
    <n v="0.36"/>
    <n v="0.23"/>
    <n v="0.23"/>
    <n v="0.11"/>
    <n v="0.23"/>
    <n v="0.43"/>
    <n v="0.55999999999999994"/>
    <n v="0.59"/>
    <n v="0.66"/>
    <n v="0.10000000000000009"/>
  </r>
  <r>
    <x v="3"/>
    <x v="4"/>
    <x v="7"/>
    <n v="100"/>
    <n v="0.09"/>
    <n v="0.14000000000000001"/>
    <n v="0.77"/>
    <m/>
    <n v="0.06"/>
    <n v="0.04"/>
    <n v="0.9"/>
    <m/>
    <n v="0.02"/>
    <n v="0.03"/>
    <n v="0.95"/>
    <m/>
    <n v="0.77"/>
    <n v="0.9"/>
    <n v="0.95"/>
    <n v="0.17999999999999994"/>
  </r>
  <r>
    <x v="3"/>
    <x v="4"/>
    <x v="0"/>
    <n v="100"/>
    <n v="0.23"/>
    <n v="0.2"/>
    <n v="0.35"/>
    <n v="0.22"/>
    <n v="0.25"/>
    <n v="0.16"/>
    <n v="0.35"/>
    <n v="0.24"/>
    <n v="0.25"/>
    <n v="0.09"/>
    <n v="0.21"/>
    <n v="0.45"/>
    <n v="0.56999999999999995"/>
    <n v="0.59"/>
    <n v="0.66"/>
    <n v="9.000000000000008E-2"/>
  </r>
  <r>
    <x v="0"/>
    <x v="5"/>
    <x v="2"/>
    <n v="96"/>
    <n v="0.57999999999999996"/>
    <n v="0.27"/>
    <n v="0.09"/>
    <n v="0.06"/>
    <n v="0.17"/>
    <n v="0.19"/>
    <n v="0.39"/>
    <n v="0.25"/>
    <n v="0.05"/>
    <n v="0.16"/>
    <n v="0.43"/>
    <n v="0.36"/>
    <n v="0.15"/>
    <n v="0.64"/>
    <n v="0.79"/>
    <n v="0.64"/>
  </r>
  <r>
    <x v="0"/>
    <x v="5"/>
    <x v="3"/>
    <n v="96"/>
    <n v="0.61"/>
    <n v="0.23"/>
    <n v="0.16"/>
    <m/>
    <n v="0.22"/>
    <n v="0.15"/>
    <n v="0.63"/>
    <m/>
    <n v="0.09"/>
    <n v="0.13"/>
    <n v="0.78"/>
    <m/>
    <n v="0.16"/>
    <n v="0.63"/>
    <n v="0.78"/>
    <n v="0.62"/>
  </r>
  <r>
    <x v="0"/>
    <x v="5"/>
    <x v="4"/>
    <n v="96"/>
    <n v="0.37"/>
    <n v="0.15"/>
    <n v="0.37"/>
    <n v="0.11"/>
    <n v="0.32"/>
    <n v="0.09"/>
    <n v="0.28000000000000003"/>
    <n v="0.31"/>
    <n v="0.19"/>
    <n v="0.13"/>
    <n v="0.11"/>
    <n v="0.56999999999999995"/>
    <n v="0.48"/>
    <n v="0.59000000000000008"/>
    <n v="0.67999999999999994"/>
    <n v="0.19999999999999996"/>
  </r>
  <r>
    <x v="0"/>
    <x v="5"/>
    <x v="5"/>
    <n v="96"/>
    <n v="0.7"/>
    <n v="0.14000000000000001"/>
    <n v="0.13"/>
    <n v="0.03"/>
    <n v="0.17"/>
    <n v="0.22"/>
    <n v="0.4"/>
    <n v="0.21"/>
    <n v="7.0000000000000007E-2"/>
    <n v="0.17"/>
    <n v="0.55000000000000004"/>
    <n v="0.21"/>
    <n v="0.16"/>
    <n v="0.61"/>
    <n v="0.76"/>
    <n v="0.6"/>
  </r>
  <r>
    <x v="0"/>
    <x v="5"/>
    <x v="6"/>
    <n v="96"/>
    <n v="0.38"/>
    <n v="0.6"/>
    <m/>
    <m/>
    <n v="0.43"/>
    <n v="0.16"/>
    <n v="0.25"/>
    <n v="0.16"/>
    <n v="0.16"/>
    <n v="0.13"/>
    <n v="0.45"/>
    <n v="0.26"/>
    <n v="0"/>
    <n v="0.41000000000000003"/>
    <n v="0.71"/>
    <n v="0.71"/>
  </r>
  <r>
    <x v="0"/>
    <x v="5"/>
    <x v="1"/>
    <n v="96"/>
    <n v="0.38"/>
    <n v="0.59"/>
    <m/>
    <m/>
    <n v="0.15"/>
    <n v="0.15"/>
    <n v="0.41"/>
    <n v="0.28000000000000003"/>
    <n v="0.05"/>
    <n v="0.14000000000000001"/>
    <n v="0.5"/>
    <n v="0.31"/>
    <n v="0"/>
    <n v="0.69"/>
    <n v="0.81"/>
    <n v="0.81"/>
  </r>
  <r>
    <x v="1"/>
    <x v="5"/>
    <x v="2"/>
    <n v="103"/>
    <n v="0.52"/>
    <n v="0.11"/>
    <n v="0.17"/>
    <n v="0.2"/>
    <n v="0.14000000000000001"/>
    <n v="0.12"/>
    <n v="0.35"/>
    <n v="0.39"/>
    <n v="0.08"/>
    <n v="0.03"/>
    <n v="0.37"/>
    <n v="0.52"/>
    <n v="0.37"/>
    <n v="0.74"/>
    <n v="0.89"/>
    <n v="0.52"/>
  </r>
  <r>
    <x v="1"/>
    <x v="5"/>
    <x v="6"/>
    <n v="103"/>
    <m/>
    <n v="0.94"/>
    <n v="0.06"/>
    <m/>
    <n v="0.35"/>
    <n v="0.09"/>
    <n v="0.25"/>
    <n v="0.31"/>
    <n v="0.13"/>
    <n v="0.06"/>
    <n v="0.32"/>
    <n v="0.49"/>
    <n v="0.06"/>
    <n v="0.56000000000000005"/>
    <n v="0.81"/>
    <n v="0.75"/>
  </r>
  <r>
    <x v="1"/>
    <x v="5"/>
    <x v="3"/>
    <n v="103"/>
    <n v="0.52"/>
    <n v="0.1"/>
    <n v="0.38"/>
    <m/>
    <n v="0.16"/>
    <n v="0.13"/>
    <n v="0.71"/>
    <m/>
    <n v="0.06"/>
    <n v="0.09"/>
    <n v="0.85"/>
    <m/>
    <n v="0.38"/>
    <n v="0.71"/>
    <n v="0.85"/>
    <n v="0.47"/>
  </r>
  <r>
    <x v="1"/>
    <x v="5"/>
    <x v="5"/>
    <n v="103"/>
    <n v="0.6"/>
    <n v="0.11"/>
    <n v="0.17"/>
    <n v="0.12"/>
    <n v="0.15"/>
    <n v="0.12"/>
    <n v="0.37"/>
    <n v="0.36"/>
    <n v="7.0000000000000007E-2"/>
    <n v="0.09"/>
    <n v="0.39"/>
    <n v="0.45"/>
    <n v="0.29000000000000004"/>
    <n v="0.73"/>
    <n v="0.84000000000000008"/>
    <n v="0.55000000000000004"/>
  </r>
  <r>
    <x v="1"/>
    <x v="5"/>
    <x v="4"/>
    <n v="103"/>
    <n v="0.3"/>
    <n v="0.22"/>
    <n v="0.36"/>
    <n v="0.12"/>
    <n v="0.26"/>
    <n v="0.05"/>
    <n v="0.35"/>
    <n v="0.34"/>
    <n v="0.12"/>
    <n v="0.09"/>
    <n v="0.24"/>
    <n v="0.55000000000000004"/>
    <n v="0.48"/>
    <n v="0.69"/>
    <n v="0.79"/>
    <n v="0.31000000000000005"/>
  </r>
  <r>
    <x v="1"/>
    <x v="5"/>
    <x v="1"/>
    <n v="103"/>
    <m/>
    <n v="0.76"/>
    <n v="0.24"/>
    <m/>
    <n v="0.15"/>
    <n v="0.2"/>
    <n v="0.33"/>
    <n v="0.32"/>
    <n v="0.13"/>
    <n v="0.12"/>
    <n v="0.35"/>
    <n v="0.4"/>
    <n v="0.24"/>
    <n v="0.65"/>
    <n v="0.75"/>
    <n v="0.51"/>
  </r>
  <r>
    <x v="4"/>
    <x v="5"/>
    <x v="2"/>
    <n v="98"/>
    <n v="0.5"/>
    <n v="0.22"/>
    <n v="0.15"/>
    <n v="0.13"/>
    <n v="0.1"/>
    <n v="0.01"/>
    <n v="0.4"/>
    <n v="0.49"/>
    <n v="0.03"/>
    <n v="0.04"/>
    <n v="0.42"/>
    <n v="0.51"/>
    <n v="0.28000000000000003"/>
    <n v="0.89"/>
    <n v="0.92999999999999994"/>
    <n v="0.64999999999999991"/>
  </r>
  <r>
    <x v="4"/>
    <x v="5"/>
    <x v="6"/>
    <n v="98"/>
    <m/>
    <n v="0.93"/>
    <n v="7.0000000000000007E-2"/>
    <m/>
    <n v="0.17"/>
    <n v="0.09"/>
    <n v="0.23"/>
    <n v="0.51"/>
    <n v="0.1"/>
    <n v="0.04"/>
    <n v="0.34"/>
    <n v="0.52"/>
    <n v="7.0000000000000007E-2"/>
    <n v="0.74"/>
    <n v="0.8600000000000001"/>
    <n v="0.79"/>
  </r>
  <r>
    <x v="4"/>
    <x v="5"/>
    <x v="3"/>
    <n v="98"/>
    <n v="0.52"/>
    <n v="0.2"/>
    <n v="0.28000000000000003"/>
    <m/>
    <n v="0.12"/>
    <n v="7.0000000000000007E-2"/>
    <n v="0.81"/>
    <m/>
    <n v="0.03"/>
    <n v="7.0000000000000007E-2"/>
    <n v="0.9"/>
    <m/>
    <n v="0.28000000000000003"/>
    <n v="0.81"/>
    <n v="0.9"/>
    <n v="0.62"/>
  </r>
  <r>
    <x v="4"/>
    <x v="5"/>
    <x v="5"/>
    <n v="98"/>
    <n v="0.54"/>
    <n v="0.27"/>
    <n v="0.16"/>
    <n v="0.03"/>
    <n v="0.08"/>
    <n v="0.11"/>
    <n v="0.34"/>
    <n v="0.47"/>
    <n v="0.03"/>
    <n v="0.1"/>
    <n v="0.5"/>
    <n v="0.37"/>
    <n v="0.19"/>
    <n v="0.81"/>
    <n v="0.87"/>
    <n v="0.67999999999999994"/>
  </r>
  <r>
    <x v="4"/>
    <x v="5"/>
    <x v="4"/>
    <n v="98"/>
    <n v="0.33"/>
    <n v="0.22"/>
    <n v="0.33"/>
    <n v="0.12"/>
    <n v="0.17"/>
    <n v="0.04"/>
    <n v="0.25"/>
    <n v="0.54"/>
    <n v="0.09"/>
    <n v="0.17"/>
    <n v="0.01"/>
    <n v="0.74"/>
    <n v="0.45"/>
    <n v="0.79"/>
    <n v="0.75"/>
    <n v="0.3"/>
  </r>
  <r>
    <x v="4"/>
    <x v="5"/>
    <x v="1"/>
    <n v="98"/>
    <m/>
    <n v="0.63"/>
    <n v="0.37"/>
    <m/>
    <n v="0.09"/>
    <n v="0.11"/>
    <n v="0.44"/>
    <n v="0.36"/>
    <n v="0.13"/>
    <n v="0.11"/>
    <n v="0.34"/>
    <n v="0.42"/>
    <n v="0.37"/>
    <n v="0.8"/>
    <n v="0.76"/>
    <n v="0.39"/>
  </r>
  <r>
    <x v="2"/>
    <x v="5"/>
    <x v="2"/>
    <n v="89"/>
    <n v="0.46"/>
    <n v="0.21"/>
    <n v="0.13"/>
    <n v="0.2"/>
    <n v="0.06"/>
    <n v="0.08"/>
    <n v="0.49"/>
    <n v="0.37"/>
    <m/>
    <m/>
    <n v="0.24"/>
    <n v="0.73"/>
    <n v="0.33"/>
    <n v="0.86"/>
    <n v="0.97"/>
    <n v="0.6399999999999999"/>
  </r>
  <r>
    <x v="2"/>
    <x v="5"/>
    <x v="6"/>
    <n v="89"/>
    <m/>
    <n v="0.93"/>
    <n v="7.0000000000000007E-2"/>
    <m/>
    <n v="0.19"/>
    <n v="0.02"/>
    <n v="0.3"/>
    <n v="0.49"/>
    <n v="0.03"/>
    <n v="0.01"/>
    <n v="0.19"/>
    <n v="0.75"/>
    <n v="7.0000000000000007E-2"/>
    <n v="0.79"/>
    <n v="0.94"/>
    <n v="0.86999999999999988"/>
  </r>
  <r>
    <x v="2"/>
    <x v="5"/>
    <x v="3"/>
    <n v="89"/>
    <n v="0.48"/>
    <n v="0.22"/>
    <n v="0.3"/>
    <m/>
    <n v="0.11"/>
    <n v="0.09"/>
    <n v="0.8"/>
    <m/>
    <n v="0.03"/>
    <n v="0.01"/>
    <n v="0.96"/>
    <m/>
    <n v="0.3"/>
    <n v="0.8"/>
    <n v="0.96"/>
    <n v="0.65999999999999992"/>
  </r>
  <r>
    <x v="2"/>
    <x v="5"/>
    <x v="5"/>
    <n v="89"/>
    <n v="0.53"/>
    <n v="0.2"/>
    <n v="0.2"/>
    <n v="7.0000000000000007E-2"/>
    <n v="0.06"/>
    <n v="0.14000000000000001"/>
    <n v="0.36"/>
    <n v="0.44"/>
    <m/>
    <n v="0.02"/>
    <n v="0.38"/>
    <n v="0.6"/>
    <n v="0.27"/>
    <n v="0.8"/>
    <n v="0.98"/>
    <n v="0.71"/>
  </r>
  <r>
    <x v="2"/>
    <x v="5"/>
    <x v="4"/>
    <n v="89"/>
    <n v="0.16"/>
    <n v="0.21"/>
    <n v="0.44"/>
    <n v="0.19"/>
    <n v="0.12"/>
    <n v="0.15"/>
    <n v="0.5"/>
    <n v="0.23"/>
    <m/>
    <n v="0.03"/>
    <n v="0.05"/>
    <n v="0.92"/>
    <n v="0.63"/>
    <n v="0.73"/>
    <n v="0.97000000000000008"/>
    <n v="0.34000000000000008"/>
  </r>
  <r>
    <x v="2"/>
    <x v="5"/>
    <x v="1"/>
    <n v="89"/>
    <m/>
    <n v="0.59"/>
    <n v="0.41"/>
    <m/>
    <n v="0.01"/>
    <n v="0.13"/>
    <n v="0.46"/>
    <n v="0.4"/>
    <n v="7.0000000000000007E-2"/>
    <n v="0.1"/>
    <n v="0.39"/>
    <n v="0.44"/>
    <n v="0.41"/>
    <n v="0.8600000000000001"/>
    <n v="0.83000000000000007"/>
    <n v="0.4200000000000001"/>
  </r>
  <r>
    <x v="3"/>
    <x v="5"/>
    <x v="2"/>
    <n v="66"/>
    <n v="0.44"/>
    <n v="0.37"/>
    <n v="7.0000000000000007E-2"/>
    <n v="0.12"/>
    <m/>
    <n v="0.09"/>
    <n v="0.42"/>
    <n v="0.49"/>
    <m/>
    <m/>
    <n v="0.33"/>
    <n v="0.67"/>
    <n v="0.19"/>
    <n v="0.90999999999999992"/>
    <n v="1"/>
    <n v="0.81"/>
  </r>
  <r>
    <x v="3"/>
    <x v="5"/>
    <x v="6"/>
    <n v="66"/>
    <m/>
    <n v="0.97"/>
    <n v="0.03"/>
    <m/>
    <n v="0.13"/>
    <n v="7.0000000000000007E-2"/>
    <n v="0.28000000000000003"/>
    <n v="0.52"/>
    <n v="0.03"/>
    <n v="0.02"/>
    <n v="0.26"/>
    <n v="0.69"/>
    <n v="0.03"/>
    <n v="0.8"/>
    <n v="0.95"/>
    <n v="0.91999999999999993"/>
  </r>
  <r>
    <x v="3"/>
    <x v="5"/>
    <x v="3"/>
    <n v="66"/>
    <n v="0.47"/>
    <n v="0.35"/>
    <n v="0.18"/>
    <m/>
    <n v="0.05"/>
    <n v="0.04"/>
    <n v="0.91"/>
    <m/>
    <m/>
    <n v="0.02"/>
    <n v="0.98"/>
    <m/>
    <n v="0.18"/>
    <n v="0.91"/>
    <n v="0.98"/>
    <n v="0.8"/>
  </r>
  <r>
    <x v="3"/>
    <x v="5"/>
    <x v="5"/>
    <n v="66"/>
    <n v="0.56999999999999995"/>
    <n v="0.25"/>
    <n v="0.1"/>
    <n v="0.08"/>
    <m/>
    <n v="7.0000000000000007E-2"/>
    <n v="0.45"/>
    <n v="0.48"/>
    <m/>
    <n v="0.03"/>
    <n v="0.45"/>
    <n v="0.52"/>
    <n v="0.18"/>
    <n v="0.92999999999999994"/>
    <n v="0.97"/>
    <n v="0.79"/>
  </r>
  <r>
    <x v="3"/>
    <x v="5"/>
    <x v="4"/>
    <n v="66"/>
    <n v="0.15"/>
    <n v="0.24"/>
    <n v="0.54"/>
    <n v="7.0000000000000007E-2"/>
    <n v="0.06"/>
    <n v="0.09"/>
    <n v="0.36"/>
    <n v="0.49"/>
    <n v="0.02"/>
    <n v="0.02"/>
    <n v="0.17"/>
    <n v="0.79"/>
    <n v="0.6100000000000001"/>
    <n v="0.85"/>
    <n v="0.96000000000000008"/>
    <n v="0.35"/>
  </r>
  <r>
    <x v="3"/>
    <x v="5"/>
    <x v="1"/>
    <n v="66"/>
    <m/>
    <n v="0.56999999999999995"/>
    <n v="0.43"/>
    <m/>
    <m/>
    <n v="0.04"/>
    <n v="0.48"/>
    <n v="0.48"/>
    <n v="0.03"/>
    <n v="0.03"/>
    <n v="0.47"/>
    <n v="0.47"/>
    <n v="0.43"/>
    <n v="0.96"/>
    <n v="0.94"/>
    <n v="0.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925694-CB05-AE42-8C37-BF32C576FE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D10" firstHeaderRow="0" firstDataRow="1" firstDataCol="1" rowPageCount="2" colPageCount="1"/>
  <pivotFields count="20">
    <pivotField axis="axisRow" showAll="0">
      <items count="6">
        <item x="0"/>
        <item x="1"/>
        <item x="4"/>
        <item x="2"/>
        <item x="3"/>
        <item t="default"/>
      </items>
    </pivotField>
    <pivotField axis="axisPage" showAll="0">
      <items count="7">
        <item x="0"/>
        <item x="5"/>
        <item x="1"/>
        <item x="2"/>
        <item x="3"/>
        <item x="4"/>
        <item t="default"/>
      </items>
    </pivotField>
    <pivotField axis="axisPage" multipleItemSelectionAllowed="1" showAll="0">
      <items count="10">
        <item h="1" x="8"/>
        <item h="1" x="2"/>
        <item h="1" x="6"/>
        <item h="1" x="3"/>
        <item h="1" x="5"/>
        <item h="1" x="4"/>
        <item h="1" x="7"/>
        <item h="1" x="0"/>
        <item x="1"/>
        <item t="default"/>
      </items>
    </pivotField>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dataField="1" numFmtId="9" showAll="0"/>
    <pivotField dataField="1" numFmtId="9" showAll="0"/>
    <pivotField dataField="1" numFmtId="9" showAll="0"/>
    <pivotField numFmtId="9" showAll="0"/>
  </pivotFields>
  <rowFields count="1">
    <field x="0"/>
  </rowFields>
  <rowItems count="6">
    <i>
      <x/>
    </i>
    <i>
      <x v="1"/>
    </i>
    <i>
      <x v="2"/>
    </i>
    <i>
      <x v="3"/>
    </i>
    <i>
      <x v="4"/>
    </i>
    <i t="grand">
      <x/>
    </i>
  </rowItems>
  <colFields count="1">
    <field x="-2"/>
  </colFields>
  <colItems count="3">
    <i>
      <x/>
    </i>
    <i i="1">
      <x v="1"/>
    </i>
    <i i="2">
      <x v="2"/>
    </i>
  </colItems>
  <pageFields count="2">
    <pageField fld="1" hier="-1"/>
    <pageField fld="2" hier="-1"/>
  </pageFields>
  <dataFields count="3">
    <dataField name="Average of BOY_Proficient" fld="16" subtotal="average" baseField="0" baseItem="0" numFmtId="9"/>
    <dataField name="Average of MOY_Proficient" fld="17" subtotal="average" baseField="0" baseItem="0" numFmtId="9"/>
    <dataField name="Average of EOY_Proficient" fld="18" subtotal="average" baseField="0" baseItem="0" numFmtId="9"/>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7ED4CD-49F9-8A42-9082-26639A624D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G12" firstHeaderRow="1" firstDataRow="2" firstDataCol="1" rowPageCount="1" colPageCount="1"/>
  <pivotFields count="20">
    <pivotField axis="axisRow" showAll="0">
      <items count="6">
        <item x="0"/>
        <item x="1"/>
        <item x="4"/>
        <item x="2"/>
        <item x="3"/>
        <item t="default"/>
      </items>
    </pivotField>
    <pivotField axis="axisCol" showAll="0">
      <items count="7">
        <item x="5"/>
        <item x="0"/>
        <item x="1"/>
        <item x="2"/>
        <item x="3"/>
        <item x="4"/>
        <item t="default"/>
      </items>
    </pivotField>
    <pivotField axis="axisPage" multipleItemSelectionAllowed="1" showAll="0">
      <items count="10">
        <item h="1" x="8"/>
        <item h="1" x="2"/>
        <item h="1" x="6"/>
        <item h="1" x="3"/>
        <item x="5"/>
        <item h="1" x="4"/>
        <item h="1" x="7"/>
        <item h="1" x="0"/>
        <item h="1" x="1"/>
        <item t="default"/>
      </items>
    </pivotField>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dataField="1" numFmtId="9" showAll="0"/>
    <pivotField numFmtId="9" showAll="0"/>
  </pivotFields>
  <rowFields count="1">
    <field x="0"/>
  </rowFields>
  <rowItems count="6">
    <i>
      <x/>
    </i>
    <i>
      <x v="1"/>
    </i>
    <i>
      <x v="2"/>
    </i>
    <i>
      <x v="3"/>
    </i>
    <i>
      <x v="4"/>
    </i>
    <i t="grand">
      <x/>
    </i>
  </rowItems>
  <colFields count="1">
    <field x="1"/>
  </colFields>
  <colItems count="6">
    <i>
      <x/>
    </i>
    <i>
      <x v="1"/>
    </i>
    <i>
      <x v="2"/>
    </i>
    <i>
      <x v="3"/>
    </i>
    <i>
      <x v="4"/>
    </i>
    <i t="grand">
      <x/>
    </i>
  </colItems>
  <pageFields count="1">
    <pageField fld="2" hier="-1"/>
  </pageFields>
  <dataFields count="1">
    <dataField name="Average of EOY_Proficient" fld="18" subtotal="average" baseField="0" baseItem="0" numFmtId="9"/>
  </dataFields>
  <conditionalFormats count="1">
    <conditionalFormat priority="1">
      <pivotAreas count="1">
        <pivotArea type="data" collapsedLevelsAreSubtotals="1" fieldPosition="0">
          <references count="3">
            <reference field="4294967294" count="1" selected="0">
              <x v="0"/>
            </reference>
            <reference field="0" count="5">
              <x v="0"/>
              <x v="1"/>
              <x v="2"/>
              <x v="3"/>
              <x v="4"/>
            </reference>
            <reference field="1" count="6" selected="0">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85D7D7-6B5A-EF4B-8F15-7D9FA2D437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C6" firstHeaderRow="0" firstDataRow="1" firstDataCol="0" rowPageCount="3" colPageCount="1"/>
  <pivotFields count="20">
    <pivotField axis="axisPage" multipleItemSelectionAllowed="1" showAll="0">
      <items count="6">
        <item h="1" x="0"/>
        <item h="1" x="1"/>
        <item x="4"/>
        <item h="1" x="2"/>
        <item h="1" x="3"/>
        <item t="default"/>
      </items>
    </pivotField>
    <pivotField axis="axisPage" multipleItemSelectionAllowed="1" showAll="0">
      <items count="7">
        <item x="0"/>
        <item h="1" x="5"/>
        <item h="1" x="1"/>
        <item h="1" x="2"/>
        <item h="1" x="3"/>
        <item h="1" x="4"/>
        <item t="default"/>
      </items>
    </pivotField>
    <pivotField axis="axisPage" multipleItemSelectionAllowed="1" showAll="0">
      <items count="10">
        <item h="1" x="8"/>
        <item x="2"/>
        <item h="1" x="6"/>
        <item h="1" x="3"/>
        <item h="1" x="5"/>
        <item h="1" x="4"/>
        <item h="1" x="7"/>
        <item h="1" x="0"/>
        <item h="1" x="1"/>
        <item t="default"/>
      </items>
    </pivotField>
    <pivotField showAll="0"/>
    <pivotField dataField="1" showAll="0"/>
    <pivotField numFmtId="9" showAll="0"/>
    <pivotField showAll="0"/>
    <pivotField showAll="0"/>
    <pivotField dataField="1" showAll="0"/>
    <pivotField showAll="0"/>
    <pivotField showAll="0"/>
    <pivotField showAll="0"/>
    <pivotField dataField="1" showAll="0"/>
    <pivotField showAll="0"/>
    <pivotField showAll="0"/>
    <pivotField showAll="0"/>
    <pivotField numFmtId="9" showAll="0"/>
    <pivotField numFmtId="9" showAll="0"/>
    <pivotField numFmtId="9" showAll="0"/>
    <pivotField numFmtId="9" showAll="0"/>
  </pivotFields>
  <rowItems count="1">
    <i/>
  </rowItems>
  <colFields count="1">
    <field x="-2"/>
  </colFields>
  <colItems count="3">
    <i>
      <x/>
    </i>
    <i i="1">
      <x v="1"/>
    </i>
    <i i="2">
      <x v="2"/>
    </i>
  </colItems>
  <pageFields count="3">
    <pageField fld="1" hier="-1"/>
    <pageField fld="2" hier="-1"/>
    <pageField fld="0" hier="-1"/>
  </pageFields>
  <dataFields count="3">
    <dataField name="Average of BOY_Red" fld="4" subtotal="average" baseField="0" baseItem="0" numFmtId="10"/>
    <dataField name="Average of MOY_Red" fld="8" subtotal="average" baseField="0" baseItem="0" numFmtId="10"/>
    <dataField name="Average of EOY_Red" fld="12" subtotal="average" baseField="0"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6FAD92-6D56-6543-B2D1-83513D0A5F6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5:H6" firstHeaderRow="0" firstDataRow="1" firstDataCol="0" rowPageCount="3" colPageCount="1"/>
  <pivotFields count="20">
    <pivotField axis="axisPage" multipleItemSelectionAllowed="1" showAll="0">
      <items count="6">
        <item h="1" x="0"/>
        <item h="1" x="1"/>
        <item h="1" x="4"/>
        <item h="1" x="2"/>
        <item x="3"/>
        <item t="default"/>
      </items>
    </pivotField>
    <pivotField axis="axisPage" multipleItemSelectionAllowed="1" showAll="0">
      <items count="7">
        <item x="0"/>
        <item h="1" x="5"/>
        <item h="1" x="1"/>
        <item h="1" x="2"/>
        <item h="1" x="3"/>
        <item h="1" x="4"/>
        <item t="default"/>
      </items>
    </pivotField>
    <pivotField axis="axisPage" multipleItemSelectionAllowed="1" showAll="0">
      <items count="10">
        <item h="1" x="8"/>
        <item h="1" x="2"/>
        <item h="1" x="6"/>
        <item h="1" x="3"/>
        <item h="1" x="5"/>
        <item h="1" x="4"/>
        <item h="1" x="7"/>
        <item h="1" x="0"/>
        <item x="1"/>
        <item t="default"/>
      </items>
    </pivotField>
    <pivotField showAll="0"/>
    <pivotField showAll="0"/>
    <pivotField numFmtId="9" showAll="0"/>
    <pivotField showAll="0"/>
    <pivotField dataField="1" showAll="0"/>
    <pivotField showAll="0"/>
    <pivotField showAll="0"/>
    <pivotField showAll="0"/>
    <pivotField dataField="1" showAll="0"/>
    <pivotField showAll="0"/>
    <pivotField showAll="0"/>
    <pivotField showAll="0"/>
    <pivotField dataField="1" showAll="0"/>
    <pivotField numFmtId="9" showAll="0"/>
    <pivotField numFmtId="9" showAll="0"/>
    <pivotField numFmtId="9" showAll="0"/>
    <pivotField numFmtId="9" showAll="0"/>
  </pivotFields>
  <rowItems count="1">
    <i/>
  </rowItems>
  <colFields count="1">
    <field x="-2"/>
  </colFields>
  <colItems count="3">
    <i>
      <x/>
    </i>
    <i i="1">
      <x v="1"/>
    </i>
    <i i="2">
      <x v="2"/>
    </i>
  </colItems>
  <pageFields count="3">
    <pageField fld="1" hier="-1"/>
    <pageField fld="2" hier="-1"/>
    <pageField fld="0" hier="-1"/>
  </pageFields>
  <dataFields count="3">
    <dataField name="Average of BOY_Blue" fld="7" subtotal="average" baseField="0" baseItem="0" numFmtId="10"/>
    <dataField name="Average of MOY_Blue" fld="11" subtotal="average" baseField="0" baseItem="0" numFmtId="10"/>
    <dataField name="Average of EOY_Blue" fld="15" subtotal="average" baseField="0"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kill_Measure" xr10:uid="{4DE11150-8FDA-C34B-AB0E-45BD8BE4D834}" sourceName="Sub_Skill_Measure">
  <pivotTables>
    <pivotTable tabId="4" name="PivotTable2"/>
  </pivotTables>
  <data>
    <tabular pivotCacheId="1450658528">
      <items count="9">
        <i x="8"/>
        <i x="2"/>
        <i x="6"/>
        <i x="3"/>
        <i x="5"/>
        <i x="4"/>
        <i x="7"/>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16BA4159-1405-DC49-A272-A1E4EB1964C0}" sourceName="Grade">
  <pivotTables>
    <pivotTable tabId="4" name="PivotTable2"/>
  </pivotTables>
  <data>
    <tabular pivotCacheId="1450658528">
      <items count="6">
        <i x="0" s="1"/>
        <i x="1" s="1"/>
        <i x="2" s="1"/>
        <i x="3" s="1"/>
        <i x="5"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_Skill_Measure" xr10:uid="{8B8E1312-8CC4-3B4D-902A-94A453B8E69B}" cache="Slicer_Sub_Skill_Measure" caption="Sub_Skill_Measure" rowHeight="230716"/>
  <slicer name="Grade" xr10:uid="{8B3B3086-5074-F64F-8DFD-4355A2B7CE5E}" cache="Slicer_Grade" caption="Grade"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C16EB-EEE2-6D48-849F-B5531E5A3EF5}">
  <dimension ref="A1:D10"/>
  <sheetViews>
    <sheetView workbookViewId="0">
      <selection activeCell="B7" sqref="B7"/>
    </sheetView>
  </sheetViews>
  <sheetFormatPr baseColWidth="10" defaultRowHeight="15" x14ac:dyDescent="0.2"/>
  <cols>
    <col min="1" max="1" width="15.1640625" bestFit="1" customWidth="1"/>
    <col min="2" max="2" width="21.6640625" bestFit="1" customWidth="1"/>
    <col min="3" max="3" width="22.33203125" bestFit="1" customWidth="1"/>
    <col min="4" max="5" width="21.5" bestFit="1" customWidth="1"/>
  </cols>
  <sheetData>
    <row r="1" spans="1:4" x14ac:dyDescent="0.2">
      <c r="A1" s="15" t="s">
        <v>1</v>
      </c>
      <c r="B1" t="s">
        <v>32</v>
      </c>
    </row>
    <row r="2" spans="1:4" x14ac:dyDescent="0.2">
      <c r="A2" s="15" t="s">
        <v>2</v>
      </c>
      <c r="B2" t="s">
        <v>19</v>
      </c>
    </row>
    <row r="4" spans="1:4" x14ac:dyDescent="0.2">
      <c r="A4" s="15" t="s">
        <v>30</v>
      </c>
      <c r="B4" t="s">
        <v>35</v>
      </c>
      <c r="C4" t="s">
        <v>34</v>
      </c>
      <c r="D4" t="s">
        <v>33</v>
      </c>
    </row>
    <row r="5" spans="1:4" x14ac:dyDescent="0.2">
      <c r="A5" s="16">
        <v>2022</v>
      </c>
      <c r="B5" s="10">
        <v>0.30499999999999999</v>
      </c>
      <c r="C5" s="10">
        <v>0.55499999999999994</v>
      </c>
      <c r="D5" s="10">
        <v>0.60250000000000004</v>
      </c>
    </row>
    <row r="6" spans="1:4" x14ac:dyDescent="0.2">
      <c r="A6" s="16">
        <v>2023</v>
      </c>
      <c r="B6" s="10">
        <v>0.42249999999999999</v>
      </c>
      <c r="C6" s="10">
        <v>0.5625</v>
      </c>
      <c r="D6" s="10">
        <v>0.65250000000000008</v>
      </c>
    </row>
    <row r="7" spans="1:4" x14ac:dyDescent="0.2">
      <c r="A7" s="16">
        <v>2024</v>
      </c>
      <c r="B7" s="10">
        <v>0.5575</v>
      </c>
      <c r="C7" s="10">
        <v>0.6875</v>
      </c>
      <c r="D7" s="10">
        <v>0.70750000000000002</v>
      </c>
    </row>
    <row r="8" spans="1:4" x14ac:dyDescent="0.2">
      <c r="A8" s="16">
        <v>2025</v>
      </c>
      <c r="B8" s="10">
        <v>0.54249999999999998</v>
      </c>
      <c r="C8" s="10">
        <v>0.70750000000000002</v>
      </c>
      <c r="D8" s="10">
        <v>0.71</v>
      </c>
    </row>
    <row r="9" spans="1:4" x14ac:dyDescent="0.2">
      <c r="A9" s="16">
        <v>2026</v>
      </c>
      <c r="B9" s="10">
        <v>0.46600000000000003</v>
      </c>
      <c r="C9" s="10">
        <v>0.60599999999999998</v>
      </c>
      <c r="D9" s="10">
        <v>0.60399999999999998</v>
      </c>
    </row>
    <row r="10" spans="1:4" x14ac:dyDescent="0.2">
      <c r="A10" s="16" t="s">
        <v>31</v>
      </c>
      <c r="B10" s="10">
        <v>0.45904761904761909</v>
      </c>
      <c r="C10" s="10">
        <v>0.62285714285714278</v>
      </c>
      <c r="D10" s="10">
        <v>0.65285714285714269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8408E-BCAC-BE44-AC96-A8EDAA9735DE}">
  <dimension ref="A3:G12"/>
  <sheetViews>
    <sheetView workbookViewId="0">
      <selection activeCell="D14" sqref="D14"/>
    </sheetView>
  </sheetViews>
  <sheetFormatPr baseColWidth="10" defaultRowHeight="15" x14ac:dyDescent="0.2"/>
  <cols>
    <col min="1" max="1" width="21.5" bestFit="1" customWidth="1"/>
    <col min="2" max="2" width="22.33203125" bestFit="1" customWidth="1"/>
    <col min="3" max="6" width="4.5" bestFit="1" customWidth="1"/>
    <col min="7" max="8" width="10" bestFit="1" customWidth="1"/>
  </cols>
  <sheetData>
    <row r="3" spans="1:7" x14ac:dyDescent="0.2">
      <c r="A3" s="15" t="s">
        <v>2</v>
      </c>
      <c r="B3" t="s">
        <v>21</v>
      </c>
    </row>
    <row r="5" spans="1:7" x14ac:dyDescent="0.2">
      <c r="A5" s="15" t="s">
        <v>33</v>
      </c>
      <c r="B5" s="15" t="s">
        <v>42</v>
      </c>
    </row>
    <row r="6" spans="1:7" x14ac:dyDescent="0.2">
      <c r="A6" s="15" t="s">
        <v>30</v>
      </c>
      <c r="B6" t="s">
        <v>16</v>
      </c>
      <c r="C6">
        <v>1</v>
      </c>
      <c r="D6">
        <v>2</v>
      </c>
      <c r="E6">
        <v>3</v>
      </c>
      <c r="F6">
        <v>4</v>
      </c>
      <c r="G6" t="s">
        <v>31</v>
      </c>
    </row>
    <row r="7" spans="1:7" x14ac:dyDescent="0.2">
      <c r="A7" s="16">
        <v>2022</v>
      </c>
      <c r="B7" s="10">
        <v>0.76</v>
      </c>
      <c r="C7" s="10">
        <v>0.64</v>
      </c>
      <c r="D7" s="10">
        <v>0.65</v>
      </c>
      <c r="E7" s="10">
        <v>0.49</v>
      </c>
      <c r="F7" s="10"/>
      <c r="G7" s="10">
        <v>0.63500000000000001</v>
      </c>
    </row>
    <row r="8" spans="1:7" x14ac:dyDescent="0.2">
      <c r="A8" s="16">
        <v>2023</v>
      </c>
      <c r="B8" s="10">
        <v>0.84000000000000008</v>
      </c>
      <c r="C8" s="10">
        <v>0.8</v>
      </c>
      <c r="D8" s="10">
        <v>0.79</v>
      </c>
      <c r="E8" s="10">
        <v>0.57000000000000006</v>
      </c>
      <c r="F8" s="10"/>
      <c r="G8" s="10">
        <v>0.75</v>
      </c>
    </row>
    <row r="9" spans="1:7" x14ac:dyDescent="0.2">
      <c r="A9" s="16">
        <v>2024</v>
      </c>
      <c r="B9" s="10">
        <v>0.87</v>
      </c>
      <c r="C9" s="10">
        <v>0.79</v>
      </c>
      <c r="D9" s="10">
        <v>0.82000000000000006</v>
      </c>
      <c r="E9" s="10">
        <v>0.7</v>
      </c>
      <c r="F9" s="10"/>
      <c r="G9" s="10">
        <v>0.79500000000000015</v>
      </c>
    </row>
    <row r="10" spans="1:7" x14ac:dyDescent="0.2">
      <c r="A10" s="16">
        <v>2025</v>
      </c>
      <c r="B10" s="10">
        <v>0.98</v>
      </c>
      <c r="C10" s="10">
        <v>0.69</v>
      </c>
      <c r="D10" s="10">
        <v>0.76</v>
      </c>
      <c r="E10" s="10">
        <v>0.64</v>
      </c>
      <c r="F10" s="10"/>
      <c r="G10" s="10">
        <v>0.76749999999999996</v>
      </c>
    </row>
    <row r="11" spans="1:7" x14ac:dyDescent="0.2">
      <c r="A11" s="16">
        <v>2026</v>
      </c>
      <c r="B11" s="10">
        <v>0.97</v>
      </c>
      <c r="C11" s="10">
        <v>0.89</v>
      </c>
      <c r="D11" s="10">
        <v>0.77</v>
      </c>
      <c r="E11" s="10">
        <v>0.64</v>
      </c>
      <c r="F11" s="10">
        <v>0.25</v>
      </c>
      <c r="G11" s="10">
        <v>0.70399999999999996</v>
      </c>
    </row>
    <row r="12" spans="1:7" x14ac:dyDescent="0.2">
      <c r="A12" s="16" t="s">
        <v>31</v>
      </c>
      <c r="B12" s="10">
        <v>0.88400000000000001</v>
      </c>
      <c r="C12" s="10">
        <v>0.76200000000000001</v>
      </c>
      <c r="D12" s="10">
        <v>0.7579999999999999</v>
      </c>
      <c r="E12" s="10">
        <v>0.60799999999999998</v>
      </c>
      <c r="F12" s="10">
        <v>0.25</v>
      </c>
      <c r="G12" s="10">
        <v>0.72904761904761906</v>
      </c>
    </row>
  </sheetData>
  <conditionalFormatting pivot="1" sqref="B7:F1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B58D9-46F4-FF42-8564-C72F9B855530}">
  <dimension ref="A1:H6"/>
  <sheetViews>
    <sheetView workbookViewId="0">
      <selection activeCell="B2" sqref="B2"/>
    </sheetView>
  </sheetViews>
  <sheetFormatPr baseColWidth="10" defaultRowHeight="15" x14ac:dyDescent="0.2"/>
  <cols>
    <col min="1" max="1" width="16.83203125" bestFit="1" customWidth="1"/>
    <col min="2" max="2" width="17.5" bestFit="1" customWidth="1"/>
    <col min="3" max="3" width="16.6640625" bestFit="1" customWidth="1"/>
    <col min="6" max="6" width="17.33203125" bestFit="1" customWidth="1"/>
    <col min="7" max="7" width="19.33203125" bestFit="1" customWidth="1"/>
    <col min="8" max="8" width="17.1640625" bestFit="1" customWidth="1"/>
  </cols>
  <sheetData>
    <row r="1" spans="1:8" x14ac:dyDescent="0.2">
      <c r="A1" s="15" t="s">
        <v>1</v>
      </c>
      <c r="B1" s="16">
        <v>1</v>
      </c>
      <c r="F1" s="15" t="s">
        <v>1</v>
      </c>
      <c r="G1" s="16">
        <v>1</v>
      </c>
    </row>
    <row r="2" spans="1:8" x14ac:dyDescent="0.2">
      <c r="A2" s="15" t="s">
        <v>2</v>
      </c>
      <c r="B2" t="s">
        <v>17</v>
      </c>
      <c r="F2" s="15" t="s">
        <v>2</v>
      </c>
      <c r="G2" t="s">
        <v>19</v>
      </c>
    </row>
    <row r="3" spans="1:8" x14ac:dyDescent="0.2">
      <c r="A3" s="15" t="s">
        <v>0</v>
      </c>
      <c r="B3" s="16">
        <v>2024</v>
      </c>
      <c r="F3" s="15" t="s">
        <v>0</v>
      </c>
      <c r="G3" s="16">
        <v>2026</v>
      </c>
    </row>
    <row r="5" spans="1:8" x14ac:dyDescent="0.2">
      <c r="A5" t="s">
        <v>36</v>
      </c>
      <c r="B5" t="s">
        <v>37</v>
      </c>
      <c r="C5" t="s">
        <v>38</v>
      </c>
      <c r="F5" t="s">
        <v>39</v>
      </c>
      <c r="G5" t="s">
        <v>40</v>
      </c>
      <c r="H5" t="s">
        <v>41</v>
      </c>
    </row>
    <row r="6" spans="1:8" x14ac:dyDescent="0.2">
      <c r="A6" s="23">
        <v>0.17</v>
      </c>
      <c r="B6" s="23">
        <v>0.15</v>
      </c>
      <c r="C6" s="23">
        <v>0.08</v>
      </c>
      <c r="F6" s="23">
        <v>0.3</v>
      </c>
      <c r="G6" s="23">
        <v>0.42</v>
      </c>
      <c r="H6" s="23">
        <v>0.43</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3E332-8128-8746-9990-70CAA68BEFE4}">
  <dimension ref="A1:C10"/>
  <sheetViews>
    <sheetView tabSelected="1" workbookViewId="0">
      <selection activeCell="B2" sqref="B2"/>
    </sheetView>
  </sheetViews>
  <sheetFormatPr baseColWidth="10" defaultRowHeight="15" x14ac:dyDescent="0.2"/>
  <cols>
    <col min="1" max="1" width="14" customWidth="1"/>
    <col min="2" max="2" width="13.1640625" customWidth="1"/>
    <col min="3" max="3" width="15.6640625" customWidth="1"/>
  </cols>
  <sheetData>
    <row r="1" spans="1:3" x14ac:dyDescent="0.2">
      <c r="A1" t="s">
        <v>43</v>
      </c>
      <c r="B1" t="s">
        <v>44</v>
      </c>
    </row>
    <row r="2" spans="1:3" x14ac:dyDescent="0.2">
      <c r="A2" t="s">
        <v>46</v>
      </c>
      <c r="B2" t="s">
        <v>21</v>
      </c>
    </row>
    <row r="4" spans="1:3" x14ac:dyDescent="0.2">
      <c r="A4" t="s">
        <v>1</v>
      </c>
      <c r="B4" t="s">
        <v>45</v>
      </c>
      <c r="C4" t="s">
        <v>28</v>
      </c>
    </row>
    <row r="5" spans="1:3" x14ac:dyDescent="0.2">
      <c r="A5" t="s">
        <v>16</v>
      </c>
      <c r="B5">
        <f>IF($B$1="22K", 2022, IF($B$1="23K", 2023, IF($B$1="24K", 2024, IF($B$1="25K", 2025, IF($B$1="26K", 2026, "")))))</f>
        <v>2022</v>
      </c>
      <c r="C5">
        <f>AVERAGEIFS(Historical_Master_Data!S:S, Historical_Master_Data!B:B, A5, Historical_Master_Data!A:A, B5, Historical_Master_Data!C:C, $B$2)</f>
        <v>0.76</v>
      </c>
    </row>
    <row r="6" spans="1:3" x14ac:dyDescent="0.2">
      <c r="A6">
        <v>1</v>
      </c>
      <c r="B6">
        <f>B5+1</f>
        <v>2023</v>
      </c>
      <c r="C6">
        <f>AVERAGEIFS(Historical_Master_Data!S:S, Historical_Master_Data!B:B, A6, Historical_Master_Data!A:A, B6, Historical_Master_Data!C:C, $B$2)</f>
        <v>0.8</v>
      </c>
    </row>
    <row r="7" spans="1:3" x14ac:dyDescent="0.2">
      <c r="A7">
        <v>2</v>
      </c>
      <c r="B7">
        <f t="shared" ref="B7:B10" si="0">B6+1</f>
        <v>2024</v>
      </c>
      <c r="C7">
        <f>AVERAGEIFS(Historical_Master_Data!S:S, Historical_Master_Data!B:B, A7, Historical_Master_Data!A:A, B7, Historical_Master_Data!C:C, $B$2)</f>
        <v>0.82000000000000006</v>
      </c>
    </row>
    <row r="8" spans="1:3" x14ac:dyDescent="0.2">
      <c r="A8">
        <v>3</v>
      </c>
      <c r="B8">
        <f t="shared" si="0"/>
        <v>2025</v>
      </c>
      <c r="C8">
        <f>AVERAGEIFS(Historical_Master_Data!S:S, Historical_Master_Data!B:B, A8, Historical_Master_Data!A:A, B8, Historical_Master_Data!C:C, $B$2)</f>
        <v>0.64</v>
      </c>
    </row>
    <row r="9" spans="1:3" x14ac:dyDescent="0.2">
      <c r="A9">
        <v>4</v>
      </c>
      <c r="B9">
        <f t="shared" si="0"/>
        <v>2026</v>
      </c>
      <c r="C9">
        <f>AVERAGEIFS(Historical_Master_Data!S:S, Historical_Master_Data!B:B, A9, Historical_Master_Data!A:A, B9, Historical_Master_Data!C:C, $B$2)</f>
        <v>0.25</v>
      </c>
    </row>
    <row r="10" spans="1:3" x14ac:dyDescent="0.2">
      <c r="A10">
        <v>5</v>
      </c>
      <c r="B10">
        <f t="shared" si="0"/>
        <v>2027</v>
      </c>
      <c r="C10" t="e">
        <f>AVERAGEIFS(Historical_Master_Data!S:S, Historical_Master_Data!B:B, A10, Historical_Master_Data!A:A, B10, Historical_Master_Data!C:C, $B$2)</f>
        <v>#DIV/0!</v>
      </c>
    </row>
  </sheetData>
  <dataValidations count="2">
    <dataValidation type="list" allowBlank="1" showInputMessage="1" showErrorMessage="1" sqref="B1" xr:uid="{A51CC4D4-D127-3145-97B3-A29E80235190}">
      <formula1>"22K, 23K, 24K, 25K, 26K"</formula1>
    </dataValidation>
    <dataValidation type="list" allowBlank="1" showInputMessage="1" showErrorMessage="1" sqref="B2" xr:uid="{9C71BBA8-1253-754B-AA93-06C65E282A8C}">
      <formula1>"Composite Score,Reading Fluency (ORF),Word Reading (WRF),Letter Names (LNF),Phonemic Awareness (PSF),Reading Accuracy (ORF-Accu),Basic Comprehension (Maze),Decoding (NWF-WRC),Letter Sounds (NWF-CLS)"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2"/>
  <sheetViews>
    <sheetView workbookViewId="0">
      <pane ySplit="1" topLeftCell="A78" activePane="bottomLeft" state="frozen"/>
      <selection pane="bottomLeft" activeCell="C138" sqref="C138"/>
    </sheetView>
  </sheetViews>
  <sheetFormatPr baseColWidth="10" defaultColWidth="8.83203125" defaultRowHeight="15" x14ac:dyDescent="0.2"/>
  <cols>
    <col min="1" max="1" width="12" customWidth="1"/>
    <col min="2" max="2" width="11" customWidth="1"/>
    <col min="3" max="3" width="32" customWidth="1"/>
    <col min="4" max="4" width="16" customWidth="1"/>
    <col min="5" max="5" width="11" customWidth="1"/>
    <col min="6" max="6" width="13" customWidth="1"/>
    <col min="7" max="7" width="12" customWidth="1"/>
    <col min="8" max="9" width="11" customWidth="1"/>
    <col min="10" max="10" width="13" customWidth="1"/>
    <col min="11" max="11" width="12" customWidth="1"/>
    <col min="12" max="13" width="11" customWidth="1"/>
    <col min="14" max="14" width="13" customWidth="1"/>
    <col min="15" max="15" width="12" customWidth="1"/>
    <col min="16" max="16" width="11" customWidth="1"/>
    <col min="17" max="17" width="13.6640625" customWidth="1"/>
    <col min="18" max="18" width="15" customWidth="1"/>
    <col min="19" max="19" width="13.1640625" customWidth="1"/>
    <col min="20" max="20" width="15.832031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4" t="s">
        <v>26</v>
      </c>
      <c r="R1" s="14" t="s">
        <v>27</v>
      </c>
      <c r="S1" s="14" t="s">
        <v>28</v>
      </c>
      <c r="T1" s="14" t="s">
        <v>29</v>
      </c>
    </row>
    <row r="2" spans="1:20" x14ac:dyDescent="0.2">
      <c r="A2" s="2">
        <v>2022</v>
      </c>
      <c r="B2" s="13">
        <v>1</v>
      </c>
      <c r="C2" s="3" t="s">
        <v>17</v>
      </c>
      <c r="D2" s="12">
        <v>98</v>
      </c>
      <c r="E2" s="7">
        <v>0.31</v>
      </c>
      <c r="F2" s="7">
        <v>0.22</v>
      </c>
      <c r="G2" s="7">
        <v>0.32</v>
      </c>
      <c r="H2" s="7">
        <v>0.15</v>
      </c>
      <c r="I2" s="8">
        <v>0.37</v>
      </c>
      <c r="J2" s="8">
        <v>0.14000000000000001</v>
      </c>
      <c r="K2" s="8">
        <v>0.32</v>
      </c>
      <c r="L2" s="8">
        <v>0.17</v>
      </c>
      <c r="M2" s="9">
        <v>0.13</v>
      </c>
      <c r="N2" s="9">
        <v>0.17</v>
      </c>
      <c r="O2" s="9">
        <v>0.4</v>
      </c>
      <c r="P2" s="9">
        <v>0.3</v>
      </c>
      <c r="Q2" s="10">
        <f t="shared" ref="Q2:Q33" si="0">SUM(G2:H2)</f>
        <v>0.47</v>
      </c>
      <c r="R2" s="10">
        <f t="shared" ref="R2:R33" si="1">SUM(K2:L2)</f>
        <v>0.49</v>
      </c>
      <c r="S2" s="10">
        <f t="shared" ref="S2:S33" si="2">SUM(O2:P2)</f>
        <v>0.7</v>
      </c>
      <c r="T2" s="10">
        <f t="shared" ref="T2:T33" si="3">S2-Q2</f>
        <v>0.22999999999999998</v>
      </c>
    </row>
    <row r="3" spans="1:20" x14ac:dyDescent="0.2">
      <c r="A3" s="2">
        <v>2023</v>
      </c>
      <c r="B3" s="13">
        <v>1</v>
      </c>
      <c r="C3" s="3" t="s">
        <v>17</v>
      </c>
      <c r="D3" s="12">
        <v>100</v>
      </c>
      <c r="E3" s="7">
        <v>0.28999999999999998</v>
      </c>
      <c r="F3" s="7">
        <v>0.26</v>
      </c>
      <c r="G3" s="7">
        <v>0.26</v>
      </c>
      <c r="H3" s="7">
        <v>0.19</v>
      </c>
      <c r="I3" s="8">
        <v>0.21</v>
      </c>
      <c r="J3" s="8">
        <v>0.24</v>
      </c>
      <c r="K3" s="8">
        <v>0.33</v>
      </c>
      <c r="L3" s="8">
        <v>0.22</v>
      </c>
      <c r="M3" s="9">
        <v>0.11</v>
      </c>
      <c r="N3" s="9">
        <v>0.12</v>
      </c>
      <c r="O3" s="9">
        <v>0.36</v>
      </c>
      <c r="P3" s="9">
        <v>0.41</v>
      </c>
      <c r="Q3" s="10">
        <f t="shared" si="0"/>
        <v>0.45</v>
      </c>
      <c r="R3" s="10">
        <f t="shared" si="1"/>
        <v>0.55000000000000004</v>
      </c>
      <c r="S3" s="10">
        <f t="shared" si="2"/>
        <v>0.77</v>
      </c>
      <c r="T3" s="10">
        <f t="shared" si="3"/>
        <v>0.32</v>
      </c>
    </row>
    <row r="4" spans="1:20" x14ac:dyDescent="0.2">
      <c r="A4" s="2">
        <v>2024</v>
      </c>
      <c r="B4" s="13">
        <v>1</v>
      </c>
      <c r="C4" s="3" t="s">
        <v>17</v>
      </c>
      <c r="D4" s="12">
        <v>106</v>
      </c>
      <c r="E4" s="7">
        <v>0.17</v>
      </c>
      <c r="F4" s="7">
        <v>0.14000000000000001</v>
      </c>
      <c r="G4" s="7">
        <v>0.4</v>
      </c>
      <c r="H4" s="7">
        <v>0.28999999999999998</v>
      </c>
      <c r="I4" s="8">
        <v>0.15</v>
      </c>
      <c r="J4" s="8">
        <v>0.13</v>
      </c>
      <c r="K4" s="8">
        <v>0.4</v>
      </c>
      <c r="L4" s="8">
        <v>0.32</v>
      </c>
      <c r="M4" s="9">
        <v>0.08</v>
      </c>
      <c r="N4" s="9">
        <v>0.14000000000000001</v>
      </c>
      <c r="O4" s="9">
        <v>0.28999999999999998</v>
      </c>
      <c r="P4" s="9">
        <v>0.49</v>
      </c>
      <c r="Q4" s="10">
        <f t="shared" si="0"/>
        <v>0.69</v>
      </c>
      <c r="R4" s="10">
        <f t="shared" si="1"/>
        <v>0.72</v>
      </c>
      <c r="S4" s="10">
        <f t="shared" si="2"/>
        <v>0.78</v>
      </c>
      <c r="T4" s="10">
        <f t="shared" si="3"/>
        <v>9.000000000000008E-2</v>
      </c>
    </row>
    <row r="5" spans="1:20" x14ac:dyDescent="0.2">
      <c r="A5" s="2">
        <v>2025</v>
      </c>
      <c r="B5" s="13">
        <v>1</v>
      </c>
      <c r="C5" s="3" t="s">
        <v>17</v>
      </c>
      <c r="D5" s="12">
        <v>95</v>
      </c>
      <c r="E5" s="7">
        <v>0.18</v>
      </c>
      <c r="F5" s="7">
        <v>0.26</v>
      </c>
      <c r="G5" s="7">
        <v>0.26</v>
      </c>
      <c r="H5" s="7">
        <v>0.3</v>
      </c>
      <c r="I5" s="8">
        <v>0.19</v>
      </c>
      <c r="J5" s="8">
        <v>0.18</v>
      </c>
      <c r="K5" s="8">
        <v>0.27</v>
      </c>
      <c r="L5" s="8">
        <v>0.36</v>
      </c>
      <c r="M5" s="9">
        <v>0.12</v>
      </c>
      <c r="N5" s="9">
        <v>0.18</v>
      </c>
      <c r="O5" s="9">
        <v>0.31</v>
      </c>
      <c r="P5" s="9">
        <v>0.39</v>
      </c>
      <c r="Q5" s="10">
        <f t="shared" si="0"/>
        <v>0.56000000000000005</v>
      </c>
      <c r="R5" s="10">
        <f t="shared" si="1"/>
        <v>0.63</v>
      </c>
      <c r="S5" s="10">
        <f t="shared" si="2"/>
        <v>0.7</v>
      </c>
      <c r="T5" s="10">
        <f t="shared" si="3"/>
        <v>0.1399999999999999</v>
      </c>
    </row>
    <row r="6" spans="1:20" x14ac:dyDescent="0.2">
      <c r="A6" s="2">
        <v>2026</v>
      </c>
      <c r="B6" s="13">
        <v>1</v>
      </c>
      <c r="C6" s="3" t="s">
        <v>17</v>
      </c>
      <c r="D6" s="12">
        <v>88</v>
      </c>
      <c r="E6" s="7">
        <v>0.09</v>
      </c>
      <c r="F6" s="7">
        <v>0.2</v>
      </c>
      <c r="G6" s="7">
        <v>0.38</v>
      </c>
      <c r="H6" s="7">
        <v>0.33</v>
      </c>
      <c r="I6" s="8">
        <v>0.13</v>
      </c>
      <c r="J6" s="8">
        <v>0.15</v>
      </c>
      <c r="K6" s="8">
        <v>0.33</v>
      </c>
      <c r="L6" s="8">
        <v>0.39</v>
      </c>
      <c r="M6" s="9">
        <v>0.09</v>
      </c>
      <c r="N6" s="9">
        <v>0.05</v>
      </c>
      <c r="O6" s="9">
        <v>0.39</v>
      </c>
      <c r="P6" s="9">
        <v>0.47</v>
      </c>
      <c r="Q6" s="10">
        <f t="shared" si="0"/>
        <v>0.71</v>
      </c>
      <c r="R6" s="10">
        <f t="shared" si="1"/>
        <v>0.72</v>
      </c>
      <c r="S6" s="10">
        <f t="shared" si="2"/>
        <v>0.86</v>
      </c>
      <c r="T6" s="10">
        <f t="shared" si="3"/>
        <v>0.15000000000000002</v>
      </c>
    </row>
    <row r="7" spans="1:20" x14ac:dyDescent="0.2">
      <c r="A7" s="2">
        <v>2022</v>
      </c>
      <c r="B7" s="13">
        <v>1</v>
      </c>
      <c r="C7" s="3" t="s">
        <v>22</v>
      </c>
      <c r="D7" s="12">
        <v>98</v>
      </c>
      <c r="E7" s="7">
        <v>0.39</v>
      </c>
      <c r="F7" s="7">
        <v>0.25</v>
      </c>
      <c r="G7" s="7">
        <v>0.26</v>
      </c>
      <c r="H7" s="7">
        <v>0.1</v>
      </c>
      <c r="I7" s="8">
        <v>0.36</v>
      </c>
      <c r="J7" s="8">
        <v>0.21</v>
      </c>
      <c r="K7" s="8">
        <v>0.3</v>
      </c>
      <c r="L7" s="8">
        <v>0.13</v>
      </c>
      <c r="M7" s="9">
        <v>0.15</v>
      </c>
      <c r="N7" s="9">
        <v>0.15</v>
      </c>
      <c r="O7" s="9">
        <v>0.43</v>
      </c>
      <c r="P7" s="9">
        <v>0.27</v>
      </c>
      <c r="Q7" s="10">
        <f t="shared" si="0"/>
        <v>0.36</v>
      </c>
      <c r="R7" s="10">
        <f t="shared" si="1"/>
        <v>0.43</v>
      </c>
      <c r="S7" s="10">
        <f t="shared" si="2"/>
        <v>0.7</v>
      </c>
      <c r="T7" s="10">
        <f t="shared" si="3"/>
        <v>0.33999999999999997</v>
      </c>
    </row>
    <row r="8" spans="1:20" x14ac:dyDescent="0.2">
      <c r="A8" s="2">
        <v>2023</v>
      </c>
      <c r="B8" s="13">
        <v>1</v>
      </c>
      <c r="C8" s="3" t="s">
        <v>22</v>
      </c>
      <c r="D8" s="12">
        <v>100</v>
      </c>
      <c r="E8" s="7">
        <v>0.34</v>
      </c>
      <c r="F8" s="7">
        <v>0.27</v>
      </c>
      <c r="G8" s="7">
        <v>0.23</v>
      </c>
      <c r="H8" s="7">
        <v>0.16</v>
      </c>
      <c r="I8" s="8">
        <v>0.21</v>
      </c>
      <c r="J8" s="8">
        <v>0.19</v>
      </c>
      <c r="K8" s="8">
        <v>0.42</v>
      </c>
      <c r="L8" s="8">
        <v>0.18</v>
      </c>
      <c r="M8" s="9">
        <v>0.1</v>
      </c>
      <c r="N8" s="9">
        <v>0.1</v>
      </c>
      <c r="O8" s="9">
        <v>0.41</v>
      </c>
      <c r="P8" s="9">
        <v>0.39</v>
      </c>
      <c r="Q8" s="10">
        <f t="shared" si="0"/>
        <v>0.39</v>
      </c>
      <c r="R8" s="10">
        <f t="shared" si="1"/>
        <v>0.6</v>
      </c>
      <c r="S8" s="10">
        <f t="shared" si="2"/>
        <v>0.8</v>
      </c>
      <c r="T8" s="10">
        <f t="shared" si="3"/>
        <v>0.41000000000000003</v>
      </c>
    </row>
    <row r="9" spans="1:20" x14ac:dyDescent="0.2">
      <c r="A9" s="2">
        <v>2024</v>
      </c>
      <c r="B9" s="13">
        <v>1</v>
      </c>
      <c r="C9" s="3" t="s">
        <v>22</v>
      </c>
      <c r="D9" s="12">
        <v>106</v>
      </c>
      <c r="E9" s="7">
        <v>0.18</v>
      </c>
      <c r="F9" s="7">
        <v>0.18</v>
      </c>
      <c r="G9" s="7">
        <v>0.45</v>
      </c>
      <c r="H9" s="7">
        <v>0.19</v>
      </c>
      <c r="I9" s="8">
        <v>0.22</v>
      </c>
      <c r="J9" s="8">
        <v>0.13</v>
      </c>
      <c r="K9" s="8">
        <v>0.38</v>
      </c>
      <c r="L9" s="8">
        <v>0.27</v>
      </c>
      <c r="M9" s="9">
        <v>0.12</v>
      </c>
      <c r="N9" s="9">
        <v>0.05</v>
      </c>
      <c r="O9" s="9">
        <v>0.45</v>
      </c>
      <c r="P9" s="9">
        <v>0.38</v>
      </c>
      <c r="Q9" s="10">
        <f t="shared" si="0"/>
        <v>0.64</v>
      </c>
      <c r="R9" s="10">
        <f t="shared" si="1"/>
        <v>0.65</v>
      </c>
      <c r="S9" s="10">
        <f t="shared" si="2"/>
        <v>0.83000000000000007</v>
      </c>
      <c r="T9" s="10">
        <f t="shared" si="3"/>
        <v>0.19000000000000006</v>
      </c>
    </row>
    <row r="10" spans="1:20" x14ac:dyDescent="0.2">
      <c r="A10" s="2">
        <v>2025</v>
      </c>
      <c r="B10" s="13">
        <v>1</v>
      </c>
      <c r="C10" s="3" t="s">
        <v>22</v>
      </c>
      <c r="D10" s="12">
        <v>95</v>
      </c>
      <c r="E10" s="7">
        <v>7.0000000000000007E-2</v>
      </c>
      <c r="F10" s="7">
        <v>0.26</v>
      </c>
      <c r="G10" s="7">
        <v>0.39</v>
      </c>
      <c r="H10" s="7">
        <v>0.28000000000000003</v>
      </c>
      <c r="I10" s="8">
        <v>0.14000000000000001</v>
      </c>
      <c r="J10" s="8">
        <v>0.19</v>
      </c>
      <c r="K10" s="8">
        <v>0.38</v>
      </c>
      <c r="L10" s="8">
        <v>0.28999999999999998</v>
      </c>
      <c r="M10" s="9">
        <v>0.12</v>
      </c>
      <c r="N10" s="9">
        <v>0.14000000000000001</v>
      </c>
      <c r="O10" s="9">
        <v>0.37</v>
      </c>
      <c r="P10" s="9">
        <v>0.37</v>
      </c>
      <c r="Q10" s="10">
        <f t="shared" si="0"/>
        <v>0.67</v>
      </c>
      <c r="R10" s="10">
        <f t="shared" si="1"/>
        <v>0.66999999999999993</v>
      </c>
      <c r="S10" s="10">
        <f t="shared" si="2"/>
        <v>0.74</v>
      </c>
      <c r="T10" s="10">
        <f t="shared" si="3"/>
        <v>6.9999999999999951E-2</v>
      </c>
    </row>
    <row r="11" spans="1:20" x14ac:dyDescent="0.2">
      <c r="A11" s="2">
        <v>2026</v>
      </c>
      <c r="B11" s="13">
        <v>1</v>
      </c>
      <c r="C11" s="3" t="s">
        <v>22</v>
      </c>
      <c r="D11" s="12">
        <v>88</v>
      </c>
      <c r="E11" s="7">
        <v>0.06</v>
      </c>
      <c r="F11" s="7">
        <v>0.11</v>
      </c>
      <c r="G11" s="7">
        <v>0.55000000000000004</v>
      </c>
      <c r="H11" s="7">
        <v>0.28000000000000003</v>
      </c>
      <c r="I11" s="8">
        <v>0.08</v>
      </c>
      <c r="J11" s="8">
        <v>0.2</v>
      </c>
      <c r="K11" s="8">
        <v>0.48</v>
      </c>
      <c r="L11" s="8">
        <v>0.24</v>
      </c>
      <c r="M11" s="9">
        <v>0.06</v>
      </c>
      <c r="N11" s="9">
        <v>0.01</v>
      </c>
      <c r="O11" s="9">
        <v>0.5</v>
      </c>
      <c r="P11" s="9">
        <v>0.43</v>
      </c>
      <c r="Q11" s="10">
        <f t="shared" si="0"/>
        <v>0.83000000000000007</v>
      </c>
      <c r="R11" s="10">
        <f t="shared" si="1"/>
        <v>0.72</v>
      </c>
      <c r="S11" s="10">
        <f t="shared" si="2"/>
        <v>0.92999999999999994</v>
      </c>
      <c r="T11" s="10">
        <f t="shared" si="3"/>
        <v>9.9999999999999867E-2</v>
      </c>
    </row>
    <row r="12" spans="1:20" x14ac:dyDescent="0.2">
      <c r="A12" s="2">
        <v>2022</v>
      </c>
      <c r="B12" s="13">
        <v>1</v>
      </c>
      <c r="C12" s="3" t="s">
        <v>20</v>
      </c>
      <c r="D12" s="12">
        <v>98</v>
      </c>
      <c r="E12" s="7">
        <v>0.33</v>
      </c>
      <c r="F12" s="7">
        <v>0.27</v>
      </c>
      <c r="G12" s="7">
        <v>0.4</v>
      </c>
      <c r="H12" s="7"/>
      <c r="I12" s="8">
        <v>0.35</v>
      </c>
      <c r="J12" s="8">
        <v>0.11</v>
      </c>
      <c r="K12" s="8">
        <v>0.54</v>
      </c>
      <c r="L12" s="8"/>
      <c r="M12" s="9">
        <v>0.12</v>
      </c>
      <c r="N12" s="9">
        <v>0.06</v>
      </c>
      <c r="O12" s="9">
        <v>0.82</v>
      </c>
      <c r="P12" s="9"/>
      <c r="Q12" s="10">
        <f t="shared" si="0"/>
        <v>0.4</v>
      </c>
      <c r="R12" s="10">
        <f t="shared" si="1"/>
        <v>0.54</v>
      </c>
      <c r="S12" s="10">
        <f t="shared" si="2"/>
        <v>0.82</v>
      </c>
      <c r="T12" s="10">
        <f t="shared" si="3"/>
        <v>0.41999999999999993</v>
      </c>
    </row>
    <row r="13" spans="1:20" x14ac:dyDescent="0.2">
      <c r="A13" s="2">
        <v>2023</v>
      </c>
      <c r="B13" s="13">
        <v>1</v>
      </c>
      <c r="C13" s="3" t="s">
        <v>20</v>
      </c>
      <c r="D13" s="12">
        <v>100</v>
      </c>
      <c r="E13" s="7">
        <v>0.3</v>
      </c>
      <c r="F13" s="7">
        <v>0.24</v>
      </c>
      <c r="G13" s="7">
        <v>0.46</v>
      </c>
      <c r="H13" s="4"/>
      <c r="I13" s="8">
        <v>0.19</v>
      </c>
      <c r="J13" s="8">
        <v>0.09</v>
      </c>
      <c r="K13" s="8">
        <v>0.72</v>
      </c>
      <c r="L13" s="5"/>
      <c r="M13" s="9">
        <v>0.06</v>
      </c>
      <c r="N13" s="6"/>
      <c r="O13" s="9">
        <v>0.93</v>
      </c>
      <c r="P13" s="6"/>
      <c r="Q13" s="10">
        <f t="shared" si="0"/>
        <v>0.46</v>
      </c>
      <c r="R13" s="10">
        <f t="shared" si="1"/>
        <v>0.72</v>
      </c>
      <c r="S13" s="10">
        <f t="shared" si="2"/>
        <v>0.93</v>
      </c>
      <c r="T13" s="10">
        <f t="shared" si="3"/>
        <v>0.47000000000000003</v>
      </c>
    </row>
    <row r="14" spans="1:20" x14ac:dyDescent="0.2">
      <c r="A14" s="2">
        <v>2024</v>
      </c>
      <c r="B14" s="13">
        <v>1</v>
      </c>
      <c r="C14" s="3" t="s">
        <v>20</v>
      </c>
      <c r="D14" s="12">
        <v>106</v>
      </c>
      <c r="E14" s="7">
        <v>0.15</v>
      </c>
      <c r="F14" s="7">
        <v>0.17</v>
      </c>
      <c r="G14" s="7">
        <v>0.68</v>
      </c>
      <c r="H14" s="4"/>
      <c r="I14" s="8">
        <v>0.13</v>
      </c>
      <c r="J14" s="8">
        <v>7.0000000000000007E-2</v>
      </c>
      <c r="K14" s="8">
        <v>0.8</v>
      </c>
      <c r="L14" s="5"/>
      <c r="M14" s="9">
        <v>0.03</v>
      </c>
      <c r="N14" s="9">
        <v>0.04</v>
      </c>
      <c r="O14" s="9">
        <v>0.93</v>
      </c>
      <c r="P14" s="6"/>
      <c r="Q14" s="10">
        <f t="shared" si="0"/>
        <v>0.68</v>
      </c>
      <c r="R14" s="10">
        <f t="shared" si="1"/>
        <v>0.8</v>
      </c>
      <c r="S14" s="10">
        <f t="shared" si="2"/>
        <v>0.93</v>
      </c>
      <c r="T14" s="10">
        <f t="shared" si="3"/>
        <v>0.25</v>
      </c>
    </row>
    <row r="15" spans="1:20" x14ac:dyDescent="0.2">
      <c r="A15" s="2">
        <v>2025</v>
      </c>
      <c r="B15" s="13">
        <v>1</v>
      </c>
      <c r="C15" s="3" t="s">
        <v>20</v>
      </c>
      <c r="D15" s="12">
        <v>95</v>
      </c>
      <c r="E15" s="7">
        <v>0.2</v>
      </c>
      <c r="F15" s="7">
        <v>0.22</v>
      </c>
      <c r="G15" s="7">
        <v>0.57999999999999996</v>
      </c>
      <c r="H15" s="4"/>
      <c r="I15" s="8">
        <v>0.18</v>
      </c>
      <c r="J15" s="8">
        <v>0.09</v>
      </c>
      <c r="K15" s="8">
        <v>0.73</v>
      </c>
      <c r="L15" s="5"/>
      <c r="M15" s="9">
        <v>0.11</v>
      </c>
      <c r="N15" s="9">
        <v>0.14000000000000001</v>
      </c>
      <c r="O15" s="9">
        <v>0.75</v>
      </c>
      <c r="P15" s="6"/>
      <c r="Q15" s="10">
        <f t="shared" si="0"/>
        <v>0.57999999999999996</v>
      </c>
      <c r="R15" s="10">
        <f t="shared" si="1"/>
        <v>0.73</v>
      </c>
      <c r="S15" s="10">
        <f t="shared" si="2"/>
        <v>0.75</v>
      </c>
      <c r="T15" s="10">
        <f t="shared" si="3"/>
        <v>0.17000000000000004</v>
      </c>
    </row>
    <row r="16" spans="1:20" x14ac:dyDescent="0.2">
      <c r="A16" s="2">
        <v>2026</v>
      </c>
      <c r="B16" s="13">
        <v>1</v>
      </c>
      <c r="C16" s="3" t="s">
        <v>20</v>
      </c>
      <c r="D16" s="12">
        <v>88</v>
      </c>
      <c r="E16" s="7">
        <v>0.17</v>
      </c>
      <c r="F16" s="7">
        <v>0.2</v>
      </c>
      <c r="G16" s="7">
        <v>0.63</v>
      </c>
      <c r="H16" s="4"/>
      <c r="I16" s="8">
        <v>0.23</v>
      </c>
      <c r="J16" s="8">
        <v>7.0000000000000007E-2</v>
      </c>
      <c r="K16" s="8">
        <v>0.7</v>
      </c>
      <c r="L16" s="5"/>
      <c r="M16" s="9">
        <v>7.0000000000000007E-2</v>
      </c>
      <c r="N16" s="9">
        <v>0.09</v>
      </c>
      <c r="O16" s="9">
        <v>0.84</v>
      </c>
      <c r="P16" s="6"/>
      <c r="Q16" s="10">
        <f t="shared" si="0"/>
        <v>0.63</v>
      </c>
      <c r="R16" s="10">
        <f t="shared" si="1"/>
        <v>0.7</v>
      </c>
      <c r="S16" s="10">
        <f t="shared" si="2"/>
        <v>0.84</v>
      </c>
      <c r="T16" s="10">
        <f t="shared" si="3"/>
        <v>0.20999999999999996</v>
      </c>
    </row>
    <row r="17" spans="1:20" x14ac:dyDescent="0.2">
      <c r="A17" s="2">
        <v>2022</v>
      </c>
      <c r="B17" s="13">
        <v>1</v>
      </c>
      <c r="C17" s="3" t="s">
        <v>21</v>
      </c>
      <c r="D17" s="12">
        <v>98</v>
      </c>
      <c r="E17" s="7">
        <v>0.39</v>
      </c>
      <c r="F17" s="7">
        <v>0.17</v>
      </c>
      <c r="G17" s="7">
        <v>0.25</v>
      </c>
      <c r="H17" s="7">
        <v>0.19</v>
      </c>
      <c r="I17" s="8">
        <v>0.5</v>
      </c>
      <c r="J17" s="8">
        <v>0.14000000000000001</v>
      </c>
      <c r="K17" s="8">
        <v>0.23</v>
      </c>
      <c r="L17" s="8">
        <v>0.13</v>
      </c>
      <c r="M17" s="9">
        <v>0.18</v>
      </c>
      <c r="N17" s="9">
        <v>0.18</v>
      </c>
      <c r="O17" s="9">
        <v>0.37</v>
      </c>
      <c r="P17" s="9">
        <v>0.27</v>
      </c>
      <c r="Q17" s="10">
        <f t="shared" si="0"/>
        <v>0.44</v>
      </c>
      <c r="R17" s="10">
        <f t="shared" si="1"/>
        <v>0.36</v>
      </c>
      <c r="S17" s="10">
        <f t="shared" si="2"/>
        <v>0.64</v>
      </c>
      <c r="T17" s="10">
        <f t="shared" si="3"/>
        <v>0.2</v>
      </c>
    </row>
    <row r="18" spans="1:20" x14ac:dyDescent="0.2">
      <c r="A18" s="2">
        <v>2023</v>
      </c>
      <c r="B18" s="13">
        <v>1</v>
      </c>
      <c r="C18" s="3" t="s">
        <v>21</v>
      </c>
      <c r="D18" s="12">
        <v>100</v>
      </c>
      <c r="E18" s="7">
        <v>0.43</v>
      </c>
      <c r="F18" s="7">
        <v>0.11</v>
      </c>
      <c r="G18" s="7">
        <v>0.25</v>
      </c>
      <c r="H18" s="7">
        <v>0.21</v>
      </c>
      <c r="I18" s="8">
        <v>0.25</v>
      </c>
      <c r="J18" s="8">
        <v>0.23</v>
      </c>
      <c r="K18" s="8">
        <v>0.34</v>
      </c>
      <c r="L18" s="8">
        <v>0.18</v>
      </c>
      <c r="M18" s="9">
        <v>0.1</v>
      </c>
      <c r="N18" s="9">
        <v>0.1</v>
      </c>
      <c r="O18" s="9">
        <v>0.4</v>
      </c>
      <c r="P18" s="9">
        <v>0.4</v>
      </c>
      <c r="Q18" s="10">
        <f t="shared" si="0"/>
        <v>0.45999999999999996</v>
      </c>
      <c r="R18" s="10">
        <f t="shared" si="1"/>
        <v>0.52</v>
      </c>
      <c r="S18" s="10">
        <f t="shared" si="2"/>
        <v>0.8</v>
      </c>
      <c r="T18" s="10">
        <f t="shared" si="3"/>
        <v>0.34000000000000008</v>
      </c>
    </row>
    <row r="19" spans="1:20" x14ac:dyDescent="0.2">
      <c r="A19" s="2">
        <v>2024</v>
      </c>
      <c r="B19" s="13">
        <v>1</v>
      </c>
      <c r="C19" s="3" t="s">
        <v>21</v>
      </c>
      <c r="D19" s="12">
        <v>106</v>
      </c>
      <c r="E19" s="7">
        <v>0.24</v>
      </c>
      <c r="F19" s="7">
        <v>0.13</v>
      </c>
      <c r="G19" s="7">
        <v>0.32</v>
      </c>
      <c r="H19" s="7">
        <v>0.31</v>
      </c>
      <c r="I19" s="8">
        <v>0.2</v>
      </c>
      <c r="J19" s="8">
        <v>0.18</v>
      </c>
      <c r="K19" s="8">
        <v>0.33</v>
      </c>
      <c r="L19" s="8">
        <v>0.28999999999999998</v>
      </c>
      <c r="M19" s="9">
        <v>0.09</v>
      </c>
      <c r="N19" s="9">
        <v>0.12</v>
      </c>
      <c r="O19" s="9">
        <v>0.36</v>
      </c>
      <c r="P19" s="9">
        <v>0.43</v>
      </c>
      <c r="Q19" s="10">
        <f t="shared" si="0"/>
        <v>0.63</v>
      </c>
      <c r="R19" s="10">
        <f t="shared" si="1"/>
        <v>0.62</v>
      </c>
      <c r="S19" s="10">
        <f t="shared" si="2"/>
        <v>0.79</v>
      </c>
      <c r="T19" s="10">
        <f t="shared" si="3"/>
        <v>0.16000000000000003</v>
      </c>
    </row>
    <row r="20" spans="1:20" x14ac:dyDescent="0.2">
      <c r="A20" s="2">
        <v>2025</v>
      </c>
      <c r="B20" s="13">
        <v>1</v>
      </c>
      <c r="C20" s="3" t="s">
        <v>21</v>
      </c>
      <c r="D20" s="12">
        <v>95</v>
      </c>
      <c r="E20" s="7">
        <v>0.27</v>
      </c>
      <c r="F20" s="7">
        <v>0.15</v>
      </c>
      <c r="G20" s="7">
        <v>0.26</v>
      </c>
      <c r="H20" s="7">
        <v>0.32</v>
      </c>
      <c r="I20" s="8">
        <v>0.19</v>
      </c>
      <c r="J20" s="8">
        <v>0.27</v>
      </c>
      <c r="K20" s="8">
        <v>0.19</v>
      </c>
      <c r="L20" s="8">
        <v>0.35</v>
      </c>
      <c r="M20" s="9">
        <v>0.15</v>
      </c>
      <c r="N20" s="9">
        <v>0.16</v>
      </c>
      <c r="O20" s="9">
        <v>0.34</v>
      </c>
      <c r="P20" s="9">
        <v>0.35</v>
      </c>
      <c r="Q20" s="10">
        <f t="shared" si="0"/>
        <v>0.58000000000000007</v>
      </c>
      <c r="R20" s="10">
        <f t="shared" si="1"/>
        <v>0.54</v>
      </c>
      <c r="S20" s="10">
        <f t="shared" si="2"/>
        <v>0.69</v>
      </c>
      <c r="T20" s="10">
        <f t="shared" si="3"/>
        <v>0.10999999999999988</v>
      </c>
    </row>
    <row r="21" spans="1:20" x14ac:dyDescent="0.2">
      <c r="A21" s="2">
        <v>2026</v>
      </c>
      <c r="B21" s="13">
        <v>1</v>
      </c>
      <c r="C21" s="3" t="s">
        <v>21</v>
      </c>
      <c r="D21" s="12">
        <v>88</v>
      </c>
      <c r="E21" s="7">
        <v>0.11</v>
      </c>
      <c r="F21" s="7">
        <v>0.09</v>
      </c>
      <c r="G21" s="7">
        <v>0.43</v>
      </c>
      <c r="H21" s="7">
        <v>0.37</v>
      </c>
      <c r="I21" s="8">
        <v>0.15</v>
      </c>
      <c r="J21" s="8">
        <v>0.17</v>
      </c>
      <c r="K21" s="8">
        <v>0.4</v>
      </c>
      <c r="L21" s="8">
        <v>0.28000000000000003</v>
      </c>
      <c r="M21" s="9">
        <v>0.04</v>
      </c>
      <c r="N21" s="9">
        <v>0.06</v>
      </c>
      <c r="O21" s="9">
        <v>0.45</v>
      </c>
      <c r="P21" s="9">
        <v>0.44</v>
      </c>
      <c r="Q21" s="10">
        <f t="shared" si="0"/>
        <v>0.8</v>
      </c>
      <c r="R21" s="10">
        <f t="shared" si="1"/>
        <v>0.68</v>
      </c>
      <c r="S21" s="10">
        <f t="shared" si="2"/>
        <v>0.89</v>
      </c>
      <c r="T21" s="10">
        <f t="shared" si="3"/>
        <v>8.9999999999999969E-2</v>
      </c>
    </row>
    <row r="22" spans="1:20" x14ac:dyDescent="0.2">
      <c r="A22" s="2">
        <v>2022</v>
      </c>
      <c r="B22" s="13">
        <v>1</v>
      </c>
      <c r="C22" s="3" t="s">
        <v>18</v>
      </c>
      <c r="D22" s="12">
        <v>98</v>
      </c>
      <c r="E22" s="7">
        <v>0.19</v>
      </c>
      <c r="F22" s="7">
        <v>0.26</v>
      </c>
      <c r="G22" s="7">
        <v>0.39</v>
      </c>
      <c r="H22" s="7">
        <v>0.16</v>
      </c>
      <c r="I22" s="8">
        <v>0.27</v>
      </c>
      <c r="J22" s="8">
        <v>0.27</v>
      </c>
      <c r="K22" s="8">
        <v>0.33</v>
      </c>
      <c r="L22" s="8">
        <v>0.13</v>
      </c>
      <c r="M22" s="9">
        <v>0.08</v>
      </c>
      <c r="N22" s="9">
        <v>0.14000000000000001</v>
      </c>
      <c r="O22" s="9">
        <v>0.55000000000000004</v>
      </c>
      <c r="P22" s="9">
        <v>0.23</v>
      </c>
      <c r="Q22" s="10">
        <f t="shared" si="0"/>
        <v>0.55000000000000004</v>
      </c>
      <c r="R22" s="10">
        <f t="shared" si="1"/>
        <v>0.46</v>
      </c>
      <c r="S22" s="10">
        <f t="shared" si="2"/>
        <v>0.78</v>
      </c>
      <c r="T22" s="10">
        <f t="shared" si="3"/>
        <v>0.22999999999999998</v>
      </c>
    </row>
    <row r="23" spans="1:20" x14ac:dyDescent="0.2">
      <c r="A23" s="2">
        <v>2023</v>
      </c>
      <c r="B23" s="13">
        <v>1</v>
      </c>
      <c r="C23" s="3" t="s">
        <v>18</v>
      </c>
      <c r="D23" s="12">
        <v>100</v>
      </c>
      <c r="E23" s="7">
        <v>0.15</v>
      </c>
      <c r="F23" s="7">
        <v>0.19</v>
      </c>
      <c r="G23" s="7">
        <v>0.5</v>
      </c>
      <c r="H23" s="7">
        <v>0.16</v>
      </c>
      <c r="I23" s="8">
        <v>7.0000000000000007E-2</v>
      </c>
      <c r="J23" s="5"/>
      <c r="K23" s="8">
        <v>0.48</v>
      </c>
      <c r="L23" s="8">
        <v>0.42</v>
      </c>
      <c r="M23" s="9">
        <v>0.06</v>
      </c>
      <c r="N23" s="6"/>
      <c r="O23" s="9">
        <v>0.34</v>
      </c>
      <c r="P23" s="9">
        <v>0.57999999999999996</v>
      </c>
      <c r="Q23" s="10">
        <f t="shared" si="0"/>
        <v>0.66</v>
      </c>
      <c r="R23" s="10">
        <f t="shared" si="1"/>
        <v>0.89999999999999991</v>
      </c>
      <c r="S23" s="10">
        <f t="shared" si="2"/>
        <v>0.91999999999999993</v>
      </c>
      <c r="T23" s="10">
        <f t="shared" si="3"/>
        <v>0.2599999999999999</v>
      </c>
    </row>
    <row r="24" spans="1:20" x14ac:dyDescent="0.2">
      <c r="A24" s="2">
        <v>2024</v>
      </c>
      <c r="B24" s="13">
        <v>1</v>
      </c>
      <c r="C24" s="3" t="s">
        <v>18</v>
      </c>
      <c r="D24" s="12">
        <v>106</v>
      </c>
      <c r="E24" s="7">
        <v>0.1</v>
      </c>
      <c r="F24" s="7">
        <v>0.14000000000000001</v>
      </c>
      <c r="G24" s="7">
        <v>0.44</v>
      </c>
      <c r="H24" s="7">
        <v>0.32</v>
      </c>
      <c r="I24" s="8">
        <v>0.05</v>
      </c>
      <c r="J24" s="8">
        <v>0.05</v>
      </c>
      <c r="K24" s="8">
        <v>0.31</v>
      </c>
      <c r="L24" s="8">
        <v>0.59</v>
      </c>
      <c r="M24" s="9">
        <v>0.03</v>
      </c>
      <c r="N24" s="9">
        <v>0.02</v>
      </c>
      <c r="O24" s="9">
        <v>0.25</v>
      </c>
      <c r="P24" s="9">
        <v>0.7</v>
      </c>
      <c r="Q24" s="10">
        <f t="shared" si="0"/>
        <v>0.76</v>
      </c>
      <c r="R24" s="10">
        <f t="shared" si="1"/>
        <v>0.89999999999999991</v>
      </c>
      <c r="S24" s="10">
        <f t="shared" si="2"/>
        <v>0.95</v>
      </c>
      <c r="T24" s="10">
        <f t="shared" si="3"/>
        <v>0.18999999999999995</v>
      </c>
    </row>
    <row r="25" spans="1:20" x14ac:dyDescent="0.2">
      <c r="A25" s="2">
        <v>2025</v>
      </c>
      <c r="B25" s="13">
        <v>1</v>
      </c>
      <c r="C25" s="3" t="s">
        <v>18</v>
      </c>
      <c r="D25" s="12">
        <v>95</v>
      </c>
      <c r="E25" s="7">
        <v>0.05</v>
      </c>
      <c r="F25" s="7">
        <v>0.22</v>
      </c>
      <c r="G25" s="7">
        <v>0.5</v>
      </c>
      <c r="H25" s="7">
        <v>0.23</v>
      </c>
      <c r="I25" s="5"/>
      <c r="J25" s="8">
        <v>0.09</v>
      </c>
      <c r="K25" s="8">
        <v>0.4</v>
      </c>
      <c r="L25" s="8">
        <v>0.46</v>
      </c>
      <c r="M25" s="9">
        <v>0.01</v>
      </c>
      <c r="N25" s="9">
        <v>0.04</v>
      </c>
      <c r="O25" s="9">
        <v>0.4</v>
      </c>
      <c r="P25" s="9">
        <v>0.55000000000000004</v>
      </c>
      <c r="Q25" s="10">
        <f t="shared" si="0"/>
        <v>0.73</v>
      </c>
      <c r="R25" s="10">
        <f t="shared" si="1"/>
        <v>0.8600000000000001</v>
      </c>
      <c r="S25" s="10">
        <f t="shared" si="2"/>
        <v>0.95000000000000007</v>
      </c>
      <c r="T25" s="10">
        <f t="shared" si="3"/>
        <v>0.22000000000000008</v>
      </c>
    </row>
    <row r="26" spans="1:20" x14ac:dyDescent="0.2">
      <c r="A26" s="2">
        <v>2026</v>
      </c>
      <c r="B26" s="13">
        <v>1</v>
      </c>
      <c r="C26" s="3" t="s">
        <v>18</v>
      </c>
      <c r="D26" s="12">
        <v>88</v>
      </c>
      <c r="E26" s="7">
        <v>7.0000000000000007E-2</v>
      </c>
      <c r="F26" s="7">
        <v>0.11</v>
      </c>
      <c r="G26" s="7">
        <v>0.32</v>
      </c>
      <c r="H26" s="7">
        <v>0.5</v>
      </c>
      <c r="I26" s="5"/>
      <c r="J26" s="8">
        <v>0.1</v>
      </c>
      <c r="K26" s="8">
        <v>0.26</v>
      </c>
      <c r="L26" s="8">
        <v>0.61</v>
      </c>
      <c r="M26" s="9">
        <v>0.01</v>
      </c>
      <c r="N26" s="9">
        <v>0.01</v>
      </c>
      <c r="O26" s="9">
        <v>0.26</v>
      </c>
      <c r="P26" s="9">
        <v>0.72</v>
      </c>
      <c r="Q26" s="10">
        <f t="shared" si="0"/>
        <v>0.82000000000000006</v>
      </c>
      <c r="R26" s="10">
        <f t="shared" si="1"/>
        <v>0.87</v>
      </c>
      <c r="S26" s="10">
        <f t="shared" si="2"/>
        <v>0.98</v>
      </c>
      <c r="T26" s="10">
        <f t="shared" si="3"/>
        <v>0.15999999999999992</v>
      </c>
    </row>
    <row r="27" spans="1:20" x14ac:dyDescent="0.2">
      <c r="A27" s="2">
        <v>2022</v>
      </c>
      <c r="B27" s="13">
        <v>1</v>
      </c>
      <c r="C27" s="3" t="s">
        <v>23</v>
      </c>
      <c r="D27" s="12">
        <v>98</v>
      </c>
      <c r="E27" s="7">
        <v>0.42</v>
      </c>
      <c r="F27" s="7">
        <v>0.17</v>
      </c>
      <c r="G27" s="7">
        <v>0.39</v>
      </c>
      <c r="H27" s="7"/>
      <c r="I27" s="8">
        <v>0.25</v>
      </c>
      <c r="J27" s="8">
        <v>0.37</v>
      </c>
      <c r="K27" s="8">
        <v>0.38</v>
      </c>
      <c r="L27" s="8"/>
      <c r="M27" s="9">
        <v>0.23</v>
      </c>
      <c r="N27" s="9">
        <v>0.13</v>
      </c>
      <c r="O27" s="9">
        <v>0.64</v>
      </c>
      <c r="P27" s="9"/>
      <c r="Q27" s="10">
        <f t="shared" si="0"/>
        <v>0.39</v>
      </c>
      <c r="R27" s="10">
        <f t="shared" si="1"/>
        <v>0.38</v>
      </c>
      <c r="S27" s="10">
        <f t="shared" si="2"/>
        <v>0.64</v>
      </c>
      <c r="T27" s="10">
        <f t="shared" si="3"/>
        <v>0.25</v>
      </c>
    </row>
    <row r="28" spans="1:20" x14ac:dyDescent="0.2">
      <c r="A28" s="2">
        <v>2023</v>
      </c>
      <c r="B28" s="13">
        <v>1</v>
      </c>
      <c r="C28" s="3" t="s">
        <v>23</v>
      </c>
      <c r="D28" s="12">
        <v>100</v>
      </c>
      <c r="E28" s="7">
        <v>0.46</v>
      </c>
      <c r="F28" s="7">
        <v>0.19</v>
      </c>
      <c r="G28" s="7">
        <v>0.33</v>
      </c>
      <c r="H28" s="4"/>
      <c r="I28" s="8">
        <v>0.34</v>
      </c>
      <c r="J28" s="8">
        <v>0.27</v>
      </c>
      <c r="K28" s="8">
        <v>0.39</v>
      </c>
      <c r="L28" s="5"/>
      <c r="M28" s="9">
        <v>0.24</v>
      </c>
      <c r="N28" s="9">
        <v>0.11</v>
      </c>
      <c r="O28" s="9">
        <v>0.65</v>
      </c>
      <c r="P28" s="6"/>
      <c r="Q28" s="10">
        <f t="shared" si="0"/>
        <v>0.33</v>
      </c>
      <c r="R28" s="10">
        <f t="shared" si="1"/>
        <v>0.39</v>
      </c>
      <c r="S28" s="10">
        <f t="shared" si="2"/>
        <v>0.65</v>
      </c>
      <c r="T28" s="10">
        <f t="shared" si="3"/>
        <v>0.32</v>
      </c>
    </row>
    <row r="29" spans="1:20" x14ac:dyDescent="0.2">
      <c r="A29" s="2">
        <v>2024</v>
      </c>
      <c r="B29" s="13">
        <v>1</v>
      </c>
      <c r="C29" s="3" t="s">
        <v>23</v>
      </c>
      <c r="D29" s="12">
        <v>106</v>
      </c>
      <c r="E29" s="7">
        <v>0.26</v>
      </c>
      <c r="F29" s="7">
        <v>0.25</v>
      </c>
      <c r="G29" s="7">
        <v>0.49</v>
      </c>
      <c r="H29" s="4"/>
      <c r="I29" s="8">
        <v>0.17</v>
      </c>
      <c r="J29" s="8">
        <v>0.34</v>
      </c>
      <c r="K29" s="8">
        <v>0.49</v>
      </c>
      <c r="L29" s="5"/>
      <c r="M29" s="9">
        <v>0.17</v>
      </c>
      <c r="N29" s="9">
        <v>0.06</v>
      </c>
      <c r="O29" s="9">
        <v>0.77</v>
      </c>
      <c r="P29" s="6"/>
      <c r="Q29" s="10">
        <f t="shared" si="0"/>
        <v>0.49</v>
      </c>
      <c r="R29" s="10">
        <f t="shared" si="1"/>
        <v>0.49</v>
      </c>
      <c r="S29" s="10">
        <f t="shared" si="2"/>
        <v>0.77</v>
      </c>
      <c r="T29" s="10">
        <f t="shared" si="3"/>
        <v>0.28000000000000003</v>
      </c>
    </row>
    <row r="30" spans="1:20" x14ac:dyDescent="0.2">
      <c r="A30" s="2">
        <v>2025</v>
      </c>
      <c r="B30" s="13">
        <v>1</v>
      </c>
      <c r="C30" s="3" t="s">
        <v>23</v>
      </c>
      <c r="D30" s="12">
        <v>95</v>
      </c>
      <c r="E30" s="7">
        <v>0.35</v>
      </c>
      <c r="F30" s="7">
        <v>0.22</v>
      </c>
      <c r="G30" s="7">
        <v>0.43</v>
      </c>
      <c r="H30" s="4"/>
      <c r="I30" s="8">
        <v>0.21</v>
      </c>
      <c r="J30" s="8">
        <v>0.33</v>
      </c>
      <c r="K30" s="8">
        <v>0.46</v>
      </c>
      <c r="L30" s="5"/>
      <c r="M30" s="9">
        <v>0.19</v>
      </c>
      <c r="N30" s="9">
        <v>0.14000000000000001</v>
      </c>
      <c r="O30" s="9">
        <v>0.67</v>
      </c>
      <c r="P30" s="6"/>
      <c r="Q30" s="10">
        <f t="shared" si="0"/>
        <v>0.43</v>
      </c>
      <c r="R30" s="10">
        <f t="shared" si="1"/>
        <v>0.46</v>
      </c>
      <c r="S30" s="10">
        <f t="shared" si="2"/>
        <v>0.67</v>
      </c>
      <c r="T30" s="10">
        <f t="shared" si="3"/>
        <v>0.24000000000000005</v>
      </c>
    </row>
    <row r="31" spans="1:20" x14ac:dyDescent="0.2">
      <c r="A31" s="2">
        <v>2026</v>
      </c>
      <c r="B31" s="13">
        <v>1</v>
      </c>
      <c r="C31" s="3" t="s">
        <v>23</v>
      </c>
      <c r="D31" s="12">
        <v>88</v>
      </c>
      <c r="E31" s="7">
        <v>0.27</v>
      </c>
      <c r="F31" s="7">
        <v>0.17</v>
      </c>
      <c r="G31" s="7">
        <v>0.56000000000000005</v>
      </c>
      <c r="H31" s="4"/>
      <c r="I31" s="8">
        <v>0.16</v>
      </c>
      <c r="J31" s="8">
        <v>0.3</v>
      </c>
      <c r="K31" s="8">
        <v>0.54</v>
      </c>
      <c r="L31" s="5"/>
      <c r="M31" s="9">
        <v>0.13</v>
      </c>
      <c r="N31" s="9">
        <v>0.18</v>
      </c>
      <c r="O31" s="9">
        <v>0.69</v>
      </c>
      <c r="P31" s="6"/>
      <c r="Q31" s="10">
        <f t="shared" si="0"/>
        <v>0.56000000000000005</v>
      </c>
      <c r="R31" s="10">
        <f t="shared" si="1"/>
        <v>0.54</v>
      </c>
      <c r="S31" s="10">
        <f t="shared" si="2"/>
        <v>0.69</v>
      </c>
      <c r="T31" s="10">
        <f t="shared" si="3"/>
        <v>0.12999999999999989</v>
      </c>
    </row>
    <row r="32" spans="1:20" x14ac:dyDescent="0.2">
      <c r="A32" s="2">
        <v>2022</v>
      </c>
      <c r="B32" s="13">
        <v>1</v>
      </c>
      <c r="C32" s="3" t="s">
        <v>24</v>
      </c>
      <c r="D32" s="12">
        <v>98</v>
      </c>
      <c r="E32" s="7">
        <v>0.35</v>
      </c>
      <c r="F32" s="7">
        <v>0.18</v>
      </c>
      <c r="G32" s="7">
        <v>0.26</v>
      </c>
      <c r="H32" s="7">
        <v>0.19</v>
      </c>
      <c r="I32" s="8">
        <v>0.33</v>
      </c>
      <c r="J32" s="8">
        <v>0.19</v>
      </c>
      <c r="K32" s="8">
        <v>0.28000000000000003</v>
      </c>
      <c r="L32" s="8">
        <v>0.2</v>
      </c>
      <c r="M32" s="9">
        <v>0.13</v>
      </c>
      <c r="N32" s="9">
        <v>0.28999999999999998</v>
      </c>
      <c r="O32" s="9">
        <v>0.24</v>
      </c>
      <c r="P32" s="9">
        <v>0.34</v>
      </c>
      <c r="Q32" s="10">
        <f t="shared" si="0"/>
        <v>0.45</v>
      </c>
      <c r="R32" s="10">
        <f t="shared" si="1"/>
        <v>0.48000000000000004</v>
      </c>
      <c r="S32" s="10">
        <f t="shared" si="2"/>
        <v>0.58000000000000007</v>
      </c>
      <c r="T32" s="10">
        <f t="shared" si="3"/>
        <v>0.13000000000000006</v>
      </c>
    </row>
    <row r="33" spans="1:20" x14ac:dyDescent="0.2">
      <c r="A33" s="2">
        <v>2023</v>
      </c>
      <c r="B33" s="13">
        <v>1</v>
      </c>
      <c r="C33" s="3" t="s">
        <v>24</v>
      </c>
      <c r="D33" s="12">
        <v>100</v>
      </c>
      <c r="E33" s="7">
        <v>0.37</v>
      </c>
      <c r="F33" s="7">
        <v>0.15</v>
      </c>
      <c r="G33" s="7">
        <v>0.31</v>
      </c>
      <c r="H33" s="7">
        <v>0.15</v>
      </c>
      <c r="I33" s="8">
        <v>0.38</v>
      </c>
      <c r="J33" s="8">
        <v>0.15</v>
      </c>
      <c r="K33" s="8">
        <v>0.25</v>
      </c>
      <c r="L33" s="8">
        <v>0.22</v>
      </c>
      <c r="M33" s="9">
        <v>0.16</v>
      </c>
      <c r="N33" s="9">
        <v>0.19</v>
      </c>
      <c r="O33" s="9">
        <v>0.3</v>
      </c>
      <c r="P33" s="9">
        <v>0.35</v>
      </c>
      <c r="Q33" s="10">
        <f t="shared" si="0"/>
        <v>0.45999999999999996</v>
      </c>
      <c r="R33" s="10">
        <f t="shared" si="1"/>
        <v>0.47</v>
      </c>
      <c r="S33" s="10">
        <f t="shared" si="2"/>
        <v>0.64999999999999991</v>
      </c>
      <c r="T33" s="10">
        <f t="shared" si="3"/>
        <v>0.18999999999999995</v>
      </c>
    </row>
    <row r="34" spans="1:20" x14ac:dyDescent="0.2">
      <c r="A34" s="2">
        <v>2024</v>
      </c>
      <c r="B34" s="13">
        <v>1</v>
      </c>
      <c r="C34" s="3" t="s">
        <v>24</v>
      </c>
      <c r="D34" s="12">
        <v>106</v>
      </c>
      <c r="E34" s="7">
        <v>0.25</v>
      </c>
      <c r="F34" s="7">
        <v>0.1</v>
      </c>
      <c r="G34" s="7">
        <v>0.39</v>
      </c>
      <c r="H34" s="7">
        <v>0.26</v>
      </c>
      <c r="I34" s="8">
        <v>0.19</v>
      </c>
      <c r="J34" s="8">
        <v>0.12</v>
      </c>
      <c r="K34" s="8">
        <v>0.39</v>
      </c>
      <c r="L34" s="8">
        <v>0.3</v>
      </c>
      <c r="M34" s="9">
        <v>0.16</v>
      </c>
      <c r="N34" s="9">
        <v>0.09</v>
      </c>
      <c r="O34" s="9">
        <v>0.28999999999999998</v>
      </c>
      <c r="P34" s="9">
        <v>0.46</v>
      </c>
      <c r="Q34" s="10">
        <f t="shared" ref="Q34:Q65" si="4">SUM(G34:H34)</f>
        <v>0.65</v>
      </c>
      <c r="R34" s="10">
        <f t="shared" ref="R34:R65" si="5">SUM(K34:L34)</f>
        <v>0.69</v>
      </c>
      <c r="S34" s="10">
        <f t="shared" ref="S34:S65" si="6">SUM(O34:P34)</f>
        <v>0.75</v>
      </c>
      <c r="T34" s="10">
        <f t="shared" ref="T34:T65" si="7">S34-Q34</f>
        <v>9.9999999999999978E-2</v>
      </c>
    </row>
    <row r="35" spans="1:20" x14ac:dyDescent="0.2">
      <c r="A35" s="2">
        <v>2025</v>
      </c>
      <c r="B35" s="13">
        <v>1</v>
      </c>
      <c r="C35" s="3" t="s">
        <v>24</v>
      </c>
      <c r="D35" s="12">
        <v>95</v>
      </c>
      <c r="E35" s="7">
        <v>0.3</v>
      </c>
      <c r="F35" s="7">
        <v>0.13</v>
      </c>
      <c r="G35" s="7">
        <v>0.33</v>
      </c>
      <c r="H35" s="7">
        <v>0.24</v>
      </c>
      <c r="I35" s="8">
        <v>0.24</v>
      </c>
      <c r="J35" s="8">
        <v>0.16</v>
      </c>
      <c r="K35" s="8">
        <v>0.25</v>
      </c>
      <c r="L35" s="8">
        <v>0.35</v>
      </c>
      <c r="M35" s="9">
        <v>0.21</v>
      </c>
      <c r="N35" s="9">
        <v>0.13</v>
      </c>
      <c r="O35" s="9">
        <v>0.22</v>
      </c>
      <c r="P35" s="9">
        <v>0.44</v>
      </c>
      <c r="Q35" s="10">
        <f t="shared" si="4"/>
        <v>0.57000000000000006</v>
      </c>
      <c r="R35" s="10">
        <f t="shared" si="5"/>
        <v>0.6</v>
      </c>
      <c r="S35" s="10">
        <f t="shared" si="6"/>
        <v>0.66</v>
      </c>
      <c r="T35" s="10">
        <f t="shared" si="7"/>
        <v>8.9999999999999969E-2</v>
      </c>
    </row>
    <row r="36" spans="1:20" x14ac:dyDescent="0.2">
      <c r="A36" s="2">
        <v>2026</v>
      </c>
      <c r="B36" s="13">
        <v>1</v>
      </c>
      <c r="C36" s="3" t="s">
        <v>24</v>
      </c>
      <c r="D36" s="12">
        <v>88</v>
      </c>
      <c r="E36" s="7">
        <v>0.22</v>
      </c>
      <c r="F36" s="7">
        <v>0.18</v>
      </c>
      <c r="G36" s="7">
        <v>0.33</v>
      </c>
      <c r="H36" s="7">
        <v>0.27</v>
      </c>
      <c r="I36" s="8">
        <v>0.22</v>
      </c>
      <c r="J36" s="8">
        <v>0.1</v>
      </c>
      <c r="K36" s="8">
        <v>0.31</v>
      </c>
      <c r="L36" s="8">
        <v>0.37</v>
      </c>
      <c r="M36" s="9">
        <v>0.1</v>
      </c>
      <c r="N36" s="9">
        <v>0.18</v>
      </c>
      <c r="O36" s="9">
        <v>0.25</v>
      </c>
      <c r="P36" s="9">
        <v>0.47</v>
      </c>
      <c r="Q36" s="10">
        <f t="shared" si="4"/>
        <v>0.60000000000000009</v>
      </c>
      <c r="R36" s="10">
        <f t="shared" si="5"/>
        <v>0.67999999999999994</v>
      </c>
      <c r="S36" s="10">
        <f t="shared" si="6"/>
        <v>0.72</v>
      </c>
      <c r="T36" s="10">
        <f t="shared" si="7"/>
        <v>0.11999999999999988</v>
      </c>
    </row>
    <row r="37" spans="1:20" x14ac:dyDescent="0.2">
      <c r="A37" s="2">
        <v>2023</v>
      </c>
      <c r="B37" s="13">
        <v>1</v>
      </c>
      <c r="C37" s="3" t="s">
        <v>19</v>
      </c>
      <c r="D37" s="12">
        <v>100</v>
      </c>
      <c r="E37" s="7">
        <v>0.37</v>
      </c>
      <c r="F37" s="7">
        <v>0.17</v>
      </c>
      <c r="G37" s="7">
        <v>0.24</v>
      </c>
      <c r="H37" s="7">
        <v>0.22</v>
      </c>
      <c r="I37" s="8">
        <v>0.26</v>
      </c>
      <c r="J37" s="8">
        <v>0.17</v>
      </c>
      <c r="K37" s="8">
        <v>0.31</v>
      </c>
      <c r="L37" s="8">
        <v>0.26</v>
      </c>
      <c r="M37" s="9">
        <v>0.17</v>
      </c>
      <c r="N37" s="9">
        <v>0.22</v>
      </c>
      <c r="O37" s="9">
        <v>0.28000000000000003</v>
      </c>
      <c r="P37" s="9">
        <v>0.33</v>
      </c>
      <c r="Q37" s="10">
        <f t="shared" si="4"/>
        <v>0.45999999999999996</v>
      </c>
      <c r="R37" s="10">
        <f t="shared" si="5"/>
        <v>0.57000000000000006</v>
      </c>
      <c r="S37" s="10">
        <f t="shared" si="6"/>
        <v>0.6100000000000001</v>
      </c>
      <c r="T37" s="10">
        <f t="shared" si="7"/>
        <v>0.15000000000000013</v>
      </c>
    </row>
    <row r="38" spans="1:20" x14ac:dyDescent="0.2">
      <c r="A38" s="2">
        <v>2025</v>
      </c>
      <c r="B38" s="13">
        <v>1</v>
      </c>
      <c r="C38" s="3" t="s">
        <v>19</v>
      </c>
      <c r="D38" s="12">
        <v>95</v>
      </c>
      <c r="E38" s="7">
        <v>0.28999999999999998</v>
      </c>
      <c r="F38" s="7">
        <v>0.2</v>
      </c>
      <c r="G38" s="7">
        <v>0.21</v>
      </c>
      <c r="H38" s="7">
        <v>0.3</v>
      </c>
      <c r="I38" s="8">
        <v>0.19</v>
      </c>
      <c r="J38" s="8">
        <v>0.12</v>
      </c>
      <c r="K38" s="8">
        <v>0.33</v>
      </c>
      <c r="L38" s="8">
        <v>0.36</v>
      </c>
      <c r="M38" s="9">
        <v>0.15</v>
      </c>
      <c r="N38" s="9">
        <v>0.21</v>
      </c>
      <c r="O38" s="9">
        <v>0.24</v>
      </c>
      <c r="P38" s="9">
        <v>0.4</v>
      </c>
      <c r="Q38" s="10">
        <f t="shared" si="4"/>
        <v>0.51</v>
      </c>
      <c r="R38" s="10">
        <f t="shared" si="5"/>
        <v>0.69</v>
      </c>
      <c r="S38" s="10">
        <f t="shared" si="6"/>
        <v>0.64</v>
      </c>
      <c r="T38" s="10">
        <f t="shared" si="7"/>
        <v>0.13</v>
      </c>
    </row>
    <row r="39" spans="1:20" x14ac:dyDescent="0.2">
      <c r="A39" s="2">
        <v>2026</v>
      </c>
      <c r="B39" s="13">
        <v>1</v>
      </c>
      <c r="C39" s="3" t="s">
        <v>19</v>
      </c>
      <c r="D39" s="12">
        <v>88</v>
      </c>
      <c r="E39" s="7">
        <v>0.24</v>
      </c>
      <c r="F39" s="7">
        <v>0.11</v>
      </c>
      <c r="G39" s="7">
        <v>0.35</v>
      </c>
      <c r="H39" s="7">
        <v>0.3</v>
      </c>
      <c r="I39" s="8">
        <v>0.13</v>
      </c>
      <c r="J39" s="8">
        <v>0.17</v>
      </c>
      <c r="K39" s="8">
        <v>0.28000000000000003</v>
      </c>
      <c r="L39" s="8">
        <v>0.42</v>
      </c>
      <c r="M39" s="9">
        <v>0.09</v>
      </c>
      <c r="N39" s="9">
        <v>0.21</v>
      </c>
      <c r="O39" s="9">
        <v>0.27</v>
      </c>
      <c r="P39" s="9">
        <v>0.43</v>
      </c>
      <c r="Q39" s="10">
        <f t="shared" si="4"/>
        <v>0.64999999999999991</v>
      </c>
      <c r="R39" s="10">
        <f t="shared" si="5"/>
        <v>0.7</v>
      </c>
      <c r="S39" s="10">
        <f t="shared" si="6"/>
        <v>0.7</v>
      </c>
      <c r="T39" s="10">
        <f t="shared" si="7"/>
        <v>5.0000000000000044E-2</v>
      </c>
    </row>
    <row r="40" spans="1:20" x14ac:dyDescent="0.2">
      <c r="A40" s="2">
        <v>2022</v>
      </c>
      <c r="B40" s="13">
        <v>1</v>
      </c>
      <c r="C40" s="3" t="s">
        <v>19</v>
      </c>
      <c r="D40" s="12">
        <v>98</v>
      </c>
      <c r="E40" s="7">
        <v>0.38</v>
      </c>
      <c r="F40" s="7">
        <v>0.17</v>
      </c>
      <c r="G40" s="7">
        <v>0.23</v>
      </c>
      <c r="H40" s="7">
        <v>0.22</v>
      </c>
      <c r="I40" s="8">
        <v>0.31</v>
      </c>
      <c r="J40" s="8">
        <v>0.13</v>
      </c>
      <c r="K40" s="8">
        <v>0.31</v>
      </c>
      <c r="L40" s="8">
        <v>0.25</v>
      </c>
      <c r="M40" s="9">
        <v>0.16</v>
      </c>
      <c r="N40" s="9">
        <v>0.27</v>
      </c>
      <c r="O40" s="9">
        <v>0.27</v>
      </c>
      <c r="P40" s="9">
        <v>0.3</v>
      </c>
      <c r="Q40" s="10">
        <f t="shared" si="4"/>
        <v>0.45</v>
      </c>
      <c r="R40" s="10">
        <f t="shared" si="5"/>
        <v>0.56000000000000005</v>
      </c>
      <c r="S40" s="10">
        <f t="shared" si="6"/>
        <v>0.57000000000000006</v>
      </c>
      <c r="T40" s="10">
        <f t="shared" si="7"/>
        <v>0.12000000000000005</v>
      </c>
    </row>
    <row r="41" spans="1:20" x14ac:dyDescent="0.2">
      <c r="A41" s="2">
        <v>2024</v>
      </c>
      <c r="B41" s="13">
        <v>1</v>
      </c>
      <c r="C41" s="3" t="s">
        <v>19</v>
      </c>
      <c r="D41" s="12">
        <v>106</v>
      </c>
      <c r="E41" s="7">
        <v>0.22</v>
      </c>
      <c r="F41" s="7">
        <v>0.1</v>
      </c>
      <c r="G41" s="7">
        <v>0.31</v>
      </c>
      <c r="H41" s="7">
        <v>0.37</v>
      </c>
      <c r="I41" s="8">
        <v>0.14000000000000001</v>
      </c>
      <c r="J41" s="8">
        <v>0.16</v>
      </c>
      <c r="K41" s="8">
        <v>0.34</v>
      </c>
      <c r="L41" s="8">
        <v>0.36</v>
      </c>
      <c r="M41" s="9">
        <v>0.12</v>
      </c>
      <c r="N41" s="9">
        <v>0.2</v>
      </c>
      <c r="O41" s="9">
        <v>0.22</v>
      </c>
      <c r="P41" s="9">
        <v>0.46</v>
      </c>
      <c r="Q41" s="10">
        <f t="shared" si="4"/>
        <v>0.67999999999999994</v>
      </c>
      <c r="R41" s="10">
        <f t="shared" si="5"/>
        <v>0.7</v>
      </c>
      <c r="S41" s="10">
        <f t="shared" si="6"/>
        <v>0.68</v>
      </c>
      <c r="T41" s="10">
        <f t="shared" si="7"/>
        <v>0</v>
      </c>
    </row>
    <row r="42" spans="1:20" x14ac:dyDescent="0.2">
      <c r="A42" s="2">
        <v>2022</v>
      </c>
      <c r="B42" s="2">
        <v>2</v>
      </c>
      <c r="C42" s="3" t="s">
        <v>25</v>
      </c>
      <c r="D42" s="12">
        <v>96</v>
      </c>
      <c r="E42" s="7">
        <v>0.55000000000000004</v>
      </c>
      <c r="F42" s="7">
        <v>0.14000000000000001</v>
      </c>
      <c r="G42" s="7">
        <v>0.15</v>
      </c>
      <c r="H42" s="7">
        <v>0.16</v>
      </c>
      <c r="I42" s="8">
        <v>0.42</v>
      </c>
      <c r="J42" s="8">
        <v>0.1</v>
      </c>
      <c r="K42" s="8">
        <v>0.36</v>
      </c>
      <c r="L42" s="8">
        <v>0.12</v>
      </c>
      <c r="M42" s="9">
        <v>0.36</v>
      </c>
      <c r="N42" s="9">
        <v>0.14000000000000001</v>
      </c>
      <c r="O42" s="9">
        <v>0.3</v>
      </c>
      <c r="P42" s="9">
        <v>0.2</v>
      </c>
      <c r="Q42" s="10">
        <f t="shared" si="4"/>
        <v>0.31</v>
      </c>
      <c r="R42" s="10">
        <f t="shared" si="5"/>
        <v>0.48</v>
      </c>
      <c r="S42" s="10">
        <f t="shared" si="6"/>
        <v>0.5</v>
      </c>
      <c r="T42" s="10">
        <f t="shared" si="7"/>
        <v>0.19</v>
      </c>
    </row>
    <row r="43" spans="1:20" x14ac:dyDescent="0.2">
      <c r="A43" s="2">
        <v>2023</v>
      </c>
      <c r="B43" s="2">
        <v>2</v>
      </c>
      <c r="C43" s="3" t="s">
        <v>25</v>
      </c>
      <c r="D43" s="12">
        <v>95</v>
      </c>
      <c r="E43" s="7">
        <v>0.47</v>
      </c>
      <c r="F43" s="7">
        <v>0.2</v>
      </c>
      <c r="G43" s="7">
        <v>0.25</v>
      </c>
      <c r="H43" s="7">
        <v>0.08</v>
      </c>
      <c r="I43" s="8">
        <v>0.39</v>
      </c>
      <c r="J43" s="8">
        <v>0.18</v>
      </c>
      <c r="K43" s="8">
        <v>0.28999999999999998</v>
      </c>
      <c r="L43" s="8">
        <v>0.14000000000000001</v>
      </c>
      <c r="M43" s="9">
        <v>0.27</v>
      </c>
      <c r="N43" s="9">
        <v>0.12</v>
      </c>
      <c r="O43" s="9">
        <v>0.41</v>
      </c>
      <c r="P43" s="9">
        <v>0.2</v>
      </c>
      <c r="Q43" s="10">
        <f t="shared" si="4"/>
        <v>0.33</v>
      </c>
      <c r="R43" s="10">
        <f t="shared" si="5"/>
        <v>0.43</v>
      </c>
      <c r="S43" s="10">
        <f t="shared" si="6"/>
        <v>0.61</v>
      </c>
      <c r="T43" s="10">
        <f t="shared" si="7"/>
        <v>0.27999999999999997</v>
      </c>
    </row>
    <row r="44" spans="1:20" x14ac:dyDescent="0.2">
      <c r="A44" s="2">
        <v>2024</v>
      </c>
      <c r="B44" s="2">
        <v>2</v>
      </c>
      <c r="C44" s="3" t="s">
        <v>25</v>
      </c>
      <c r="D44" s="12">
        <v>113</v>
      </c>
      <c r="E44" s="7">
        <v>0.51</v>
      </c>
      <c r="F44" s="7">
        <v>0.17</v>
      </c>
      <c r="G44" s="7">
        <v>0.23</v>
      </c>
      <c r="H44" s="7">
        <v>0.09</v>
      </c>
      <c r="I44" s="8">
        <v>0.34</v>
      </c>
      <c r="J44" s="8">
        <v>0.14000000000000001</v>
      </c>
      <c r="K44" s="8">
        <v>0.37</v>
      </c>
      <c r="L44" s="8">
        <v>0.15</v>
      </c>
      <c r="M44" s="9">
        <v>0.32</v>
      </c>
      <c r="N44" s="9">
        <v>0.13</v>
      </c>
      <c r="O44" s="9">
        <v>0.38</v>
      </c>
      <c r="P44" s="9">
        <v>0.17</v>
      </c>
      <c r="Q44" s="10">
        <f t="shared" si="4"/>
        <v>0.32</v>
      </c>
      <c r="R44" s="10">
        <f t="shared" si="5"/>
        <v>0.52</v>
      </c>
      <c r="S44" s="10">
        <f t="shared" si="6"/>
        <v>0.55000000000000004</v>
      </c>
      <c r="T44" s="10">
        <f t="shared" si="7"/>
        <v>0.23000000000000004</v>
      </c>
    </row>
    <row r="45" spans="1:20" x14ac:dyDescent="0.2">
      <c r="A45" s="2">
        <v>2025</v>
      </c>
      <c r="B45" s="2">
        <v>2</v>
      </c>
      <c r="C45" s="3" t="s">
        <v>25</v>
      </c>
      <c r="D45" s="12">
        <v>103</v>
      </c>
      <c r="E45" s="19">
        <v>0.4</v>
      </c>
      <c r="F45" s="19">
        <v>0.17</v>
      </c>
      <c r="G45" s="19">
        <v>0.28999999999999998</v>
      </c>
      <c r="H45" s="19">
        <v>0.14000000000000001</v>
      </c>
      <c r="I45" s="19">
        <v>0.31</v>
      </c>
      <c r="J45" s="19">
        <v>0.19</v>
      </c>
      <c r="K45" s="19">
        <v>0.31</v>
      </c>
      <c r="L45" s="19">
        <v>0.19</v>
      </c>
      <c r="M45" s="19">
        <v>0.25</v>
      </c>
      <c r="N45" s="19">
        <v>0.18</v>
      </c>
      <c r="O45" s="19">
        <v>0.36</v>
      </c>
      <c r="P45" s="19">
        <v>0.21</v>
      </c>
      <c r="Q45" s="10">
        <f t="shared" si="4"/>
        <v>0.43</v>
      </c>
      <c r="R45" s="10">
        <f t="shared" si="5"/>
        <v>0.5</v>
      </c>
      <c r="S45" s="10">
        <f t="shared" si="6"/>
        <v>0.56999999999999995</v>
      </c>
      <c r="T45" s="10">
        <f t="shared" si="7"/>
        <v>0.13999999999999996</v>
      </c>
    </row>
    <row r="46" spans="1:20" x14ac:dyDescent="0.2">
      <c r="A46" s="2">
        <v>2026</v>
      </c>
      <c r="B46" s="2">
        <v>2</v>
      </c>
      <c r="C46" s="3" t="s">
        <v>25</v>
      </c>
      <c r="D46" s="12">
        <v>95</v>
      </c>
      <c r="E46" s="7">
        <v>0.39</v>
      </c>
      <c r="F46" s="7">
        <v>0.21</v>
      </c>
      <c r="G46" s="7">
        <v>0.25</v>
      </c>
      <c r="H46" s="7">
        <v>0.15</v>
      </c>
      <c r="I46" s="8">
        <v>0.41</v>
      </c>
      <c r="J46" s="8">
        <v>0.1</v>
      </c>
      <c r="K46" s="8">
        <v>0.3</v>
      </c>
      <c r="L46" s="8">
        <v>0.19</v>
      </c>
      <c r="M46" s="9">
        <v>0.36</v>
      </c>
      <c r="N46" s="9">
        <v>0.11</v>
      </c>
      <c r="O46" s="9">
        <v>0.34</v>
      </c>
      <c r="P46" s="9">
        <v>0.19</v>
      </c>
      <c r="Q46" s="10">
        <f t="shared" si="4"/>
        <v>0.4</v>
      </c>
      <c r="R46" s="10">
        <f t="shared" si="5"/>
        <v>0.49</v>
      </c>
      <c r="S46" s="10">
        <f t="shared" si="6"/>
        <v>0.53</v>
      </c>
      <c r="T46" s="10">
        <f t="shared" si="7"/>
        <v>0.13</v>
      </c>
    </row>
    <row r="47" spans="1:20" x14ac:dyDescent="0.2">
      <c r="A47" s="2">
        <v>2022</v>
      </c>
      <c r="B47" s="2">
        <v>2</v>
      </c>
      <c r="C47" s="3" t="s">
        <v>17</v>
      </c>
      <c r="D47" s="12">
        <v>96</v>
      </c>
      <c r="E47" s="7">
        <v>0.45</v>
      </c>
      <c r="F47" s="7">
        <v>0.14000000000000001</v>
      </c>
      <c r="G47" s="7">
        <v>0.35</v>
      </c>
      <c r="H47" s="7">
        <v>0.06</v>
      </c>
      <c r="I47" s="8">
        <v>0.34</v>
      </c>
      <c r="J47" s="8">
        <v>0.17</v>
      </c>
      <c r="K47" s="8">
        <v>0.33</v>
      </c>
      <c r="L47" s="8">
        <v>0.16</v>
      </c>
      <c r="M47" s="9">
        <v>0.25</v>
      </c>
      <c r="N47" s="9">
        <v>0.13</v>
      </c>
      <c r="O47" s="9">
        <v>0.36</v>
      </c>
      <c r="P47" s="9">
        <v>0.26</v>
      </c>
      <c r="Q47" s="10">
        <f t="shared" si="4"/>
        <v>0.41</v>
      </c>
      <c r="R47" s="10">
        <f t="shared" si="5"/>
        <v>0.49</v>
      </c>
      <c r="S47" s="10">
        <f t="shared" si="6"/>
        <v>0.62</v>
      </c>
      <c r="T47" s="10">
        <f t="shared" si="7"/>
        <v>0.21000000000000002</v>
      </c>
    </row>
    <row r="48" spans="1:20" x14ac:dyDescent="0.2">
      <c r="A48" s="2">
        <v>2023</v>
      </c>
      <c r="B48" s="2">
        <v>2</v>
      </c>
      <c r="C48" s="3" t="s">
        <v>17</v>
      </c>
      <c r="D48" s="12">
        <v>95</v>
      </c>
      <c r="E48" s="7">
        <v>0.4</v>
      </c>
      <c r="F48" s="7">
        <v>0.1</v>
      </c>
      <c r="G48" s="7">
        <v>0.4</v>
      </c>
      <c r="H48" s="7">
        <v>0.1</v>
      </c>
      <c r="I48" s="8">
        <v>0.2</v>
      </c>
      <c r="J48" s="8">
        <v>0.22</v>
      </c>
      <c r="K48" s="8">
        <v>0.38</v>
      </c>
      <c r="L48" s="8">
        <v>0.2</v>
      </c>
      <c r="M48" s="9">
        <v>0.11</v>
      </c>
      <c r="N48" s="9">
        <v>0.15</v>
      </c>
      <c r="O48" s="9">
        <v>0.48</v>
      </c>
      <c r="P48" s="9">
        <v>0.26</v>
      </c>
      <c r="Q48" s="10">
        <f t="shared" si="4"/>
        <v>0.5</v>
      </c>
      <c r="R48" s="10">
        <f t="shared" si="5"/>
        <v>0.58000000000000007</v>
      </c>
      <c r="S48" s="10">
        <f t="shared" si="6"/>
        <v>0.74</v>
      </c>
      <c r="T48" s="10">
        <f t="shared" si="7"/>
        <v>0.24</v>
      </c>
    </row>
    <row r="49" spans="1:20" x14ac:dyDescent="0.2">
      <c r="A49" s="2">
        <v>2024</v>
      </c>
      <c r="B49" s="2">
        <v>2</v>
      </c>
      <c r="C49" s="3" t="s">
        <v>17</v>
      </c>
      <c r="D49" s="12">
        <v>113</v>
      </c>
      <c r="E49" s="7">
        <v>0.3</v>
      </c>
      <c r="F49" s="7">
        <v>0.18</v>
      </c>
      <c r="G49" s="7">
        <v>0.36</v>
      </c>
      <c r="H49" s="7">
        <v>0.16</v>
      </c>
      <c r="I49" s="8">
        <v>0.15</v>
      </c>
      <c r="J49" s="8">
        <v>0.18</v>
      </c>
      <c r="K49" s="8">
        <v>0.4</v>
      </c>
      <c r="L49" s="8">
        <v>0.27</v>
      </c>
      <c r="M49" s="9">
        <v>0.1</v>
      </c>
      <c r="N49" s="9">
        <v>0.16</v>
      </c>
      <c r="O49" s="9">
        <v>0.39</v>
      </c>
      <c r="P49" s="9">
        <v>0.35</v>
      </c>
      <c r="Q49" s="10">
        <f t="shared" si="4"/>
        <v>0.52</v>
      </c>
      <c r="R49" s="10">
        <f t="shared" si="5"/>
        <v>0.67</v>
      </c>
      <c r="S49" s="10">
        <f t="shared" si="6"/>
        <v>0.74</v>
      </c>
      <c r="T49" s="10">
        <f t="shared" si="7"/>
        <v>0.21999999999999997</v>
      </c>
    </row>
    <row r="50" spans="1:20" x14ac:dyDescent="0.2">
      <c r="A50" s="2">
        <v>2025</v>
      </c>
      <c r="B50" s="2">
        <v>2</v>
      </c>
      <c r="C50" s="3" t="s">
        <v>17</v>
      </c>
      <c r="D50" s="12">
        <v>103</v>
      </c>
      <c r="E50" s="7">
        <v>0.25</v>
      </c>
      <c r="F50" s="7">
        <v>0.13</v>
      </c>
      <c r="G50" s="7">
        <v>0.33</v>
      </c>
      <c r="H50" s="7">
        <v>0.28999999999999998</v>
      </c>
      <c r="I50" s="8">
        <v>0.18</v>
      </c>
      <c r="J50" s="8">
        <v>0.15</v>
      </c>
      <c r="K50" s="8">
        <v>0.33</v>
      </c>
      <c r="L50" s="8">
        <v>0.34</v>
      </c>
      <c r="M50" s="9">
        <v>0.15</v>
      </c>
      <c r="N50" s="9">
        <v>0.1</v>
      </c>
      <c r="O50" s="9">
        <v>0.36</v>
      </c>
      <c r="P50" s="9">
        <v>0.39</v>
      </c>
      <c r="Q50" s="10">
        <f t="shared" si="4"/>
        <v>0.62</v>
      </c>
      <c r="R50" s="10">
        <f t="shared" si="5"/>
        <v>0.67</v>
      </c>
      <c r="S50" s="10">
        <f t="shared" si="6"/>
        <v>0.75</v>
      </c>
      <c r="T50" s="10">
        <f t="shared" si="7"/>
        <v>0.13</v>
      </c>
    </row>
    <row r="51" spans="1:20" x14ac:dyDescent="0.2">
      <c r="A51" s="2">
        <v>2026</v>
      </c>
      <c r="B51" s="2">
        <v>2</v>
      </c>
      <c r="C51" s="3" t="s">
        <v>17</v>
      </c>
      <c r="D51" s="12">
        <v>95</v>
      </c>
      <c r="E51" s="7">
        <v>0.3</v>
      </c>
      <c r="F51" s="7">
        <v>0.16</v>
      </c>
      <c r="G51" s="7">
        <v>0.27</v>
      </c>
      <c r="H51" s="7">
        <v>0.27</v>
      </c>
      <c r="I51" s="8">
        <v>0.2</v>
      </c>
      <c r="J51" s="8">
        <v>0.17</v>
      </c>
      <c r="K51" s="8">
        <v>0.36</v>
      </c>
      <c r="L51" s="8">
        <v>0.27</v>
      </c>
      <c r="M51" s="9">
        <v>0.19</v>
      </c>
      <c r="N51" s="9">
        <v>0.15</v>
      </c>
      <c r="O51" s="9">
        <v>0.38</v>
      </c>
      <c r="P51" s="9">
        <v>0.28000000000000003</v>
      </c>
      <c r="Q51" s="10">
        <f t="shared" si="4"/>
        <v>0.54</v>
      </c>
      <c r="R51" s="10">
        <f t="shared" si="5"/>
        <v>0.63</v>
      </c>
      <c r="S51" s="10">
        <f t="shared" si="6"/>
        <v>0.66</v>
      </c>
      <c r="T51" s="10">
        <f t="shared" si="7"/>
        <v>0.12</v>
      </c>
    </row>
    <row r="52" spans="1:20" x14ac:dyDescent="0.2">
      <c r="A52" s="2">
        <v>2022</v>
      </c>
      <c r="B52" s="2">
        <v>2</v>
      </c>
      <c r="C52" s="3" t="s">
        <v>22</v>
      </c>
      <c r="D52" s="12">
        <v>96</v>
      </c>
      <c r="E52" s="7">
        <v>0.45</v>
      </c>
      <c r="F52" s="7">
        <v>0.17</v>
      </c>
      <c r="G52" s="7">
        <v>0.28000000000000003</v>
      </c>
      <c r="H52" s="7">
        <v>0.09</v>
      </c>
      <c r="I52" s="8">
        <v>0.3</v>
      </c>
      <c r="J52" s="8">
        <v>0.19</v>
      </c>
      <c r="K52" s="8">
        <v>0.34</v>
      </c>
      <c r="L52" s="8">
        <v>0.17</v>
      </c>
      <c r="M52" s="9">
        <v>0.17</v>
      </c>
      <c r="N52" s="9">
        <v>0.11</v>
      </c>
      <c r="O52" s="9">
        <v>0.46</v>
      </c>
      <c r="P52" s="9">
        <v>0.26</v>
      </c>
      <c r="Q52" s="10">
        <f t="shared" si="4"/>
        <v>0.37</v>
      </c>
      <c r="R52" s="10">
        <f t="shared" si="5"/>
        <v>0.51</v>
      </c>
      <c r="S52" s="10">
        <f t="shared" si="6"/>
        <v>0.72</v>
      </c>
      <c r="T52" s="10">
        <f t="shared" si="7"/>
        <v>0.35</v>
      </c>
    </row>
    <row r="53" spans="1:20" x14ac:dyDescent="0.2">
      <c r="A53" s="2">
        <v>2023</v>
      </c>
      <c r="B53" s="2">
        <v>2</v>
      </c>
      <c r="C53" s="3" t="s">
        <v>22</v>
      </c>
      <c r="D53" s="12">
        <v>95</v>
      </c>
      <c r="E53" s="7">
        <v>0.38</v>
      </c>
      <c r="F53" s="7">
        <v>0.18</v>
      </c>
      <c r="G53" s="7">
        <v>0.28999999999999998</v>
      </c>
      <c r="H53" s="7">
        <v>0.15</v>
      </c>
      <c r="I53" s="8">
        <v>0.19</v>
      </c>
      <c r="J53" s="8">
        <v>0.13</v>
      </c>
      <c r="K53" s="8">
        <v>0.45</v>
      </c>
      <c r="L53" s="8">
        <v>0.23</v>
      </c>
      <c r="M53" s="9">
        <v>7.0000000000000007E-2</v>
      </c>
      <c r="N53" s="9">
        <v>0.08</v>
      </c>
      <c r="O53" s="9">
        <v>0.53</v>
      </c>
      <c r="P53" s="9">
        <v>0.32</v>
      </c>
      <c r="Q53" s="10">
        <f t="shared" si="4"/>
        <v>0.43999999999999995</v>
      </c>
      <c r="R53" s="10">
        <f t="shared" si="5"/>
        <v>0.68</v>
      </c>
      <c r="S53" s="10">
        <f t="shared" si="6"/>
        <v>0.85000000000000009</v>
      </c>
      <c r="T53" s="10">
        <f t="shared" si="7"/>
        <v>0.41000000000000014</v>
      </c>
    </row>
    <row r="54" spans="1:20" x14ac:dyDescent="0.2">
      <c r="A54" s="2">
        <v>2024</v>
      </c>
      <c r="B54" s="2">
        <v>2</v>
      </c>
      <c r="C54" s="3" t="s">
        <v>22</v>
      </c>
      <c r="D54" s="12">
        <v>113</v>
      </c>
      <c r="E54" s="7">
        <v>0.24</v>
      </c>
      <c r="F54" s="7">
        <v>0.18</v>
      </c>
      <c r="G54" s="7">
        <v>0.35</v>
      </c>
      <c r="H54" s="7">
        <v>0.23</v>
      </c>
      <c r="I54" s="8">
        <v>7.0000000000000007E-2</v>
      </c>
      <c r="J54" s="8">
        <v>0.11</v>
      </c>
      <c r="K54" s="8">
        <v>0.5</v>
      </c>
      <c r="L54" s="8">
        <v>0.32</v>
      </c>
      <c r="M54" s="6"/>
      <c r="N54" s="9">
        <v>0.09</v>
      </c>
      <c r="O54" s="9">
        <v>0.42</v>
      </c>
      <c r="P54" s="9">
        <v>0.45</v>
      </c>
      <c r="Q54" s="10">
        <f t="shared" si="4"/>
        <v>0.57999999999999996</v>
      </c>
      <c r="R54" s="10">
        <f t="shared" si="5"/>
        <v>0.82000000000000006</v>
      </c>
      <c r="S54" s="10">
        <f t="shared" si="6"/>
        <v>0.87</v>
      </c>
      <c r="T54" s="10">
        <f t="shared" si="7"/>
        <v>0.29000000000000004</v>
      </c>
    </row>
    <row r="55" spans="1:20" x14ac:dyDescent="0.2">
      <c r="A55" s="2">
        <v>2025</v>
      </c>
      <c r="B55" s="2">
        <v>2</v>
      </c>
      <c r="C55" s="3" t="s">
        <v>22</v>
      </c>
      <c r="D55" s="12">
        <v>103</v>
      </c>
      <c r="E55" s="7">
        <v>0.2</v>
      </c>
      <c r="F55" s="7">
        <v>0.18</v>
      </c>
      <c r="G55" s="7">
        <v>0.25</v>
      </c>
      <c r="H55" s="7">
        <v>0.37</v>
      </c>
      <c r="I55" s="8">
        <v>0.11</v>
      </c>
      <c r="J55" s="8">
        <v>0.09</v>
      </c>
      <c r="K55" s="8">
        <v>0.44</v>
      </c>
      <c r="L55" s="8">
        <v>0.36</v>
      </c>
      <c r="M55" s="9">
        <v>0.09</v>
      </c>
      <c r="N55" s="9">
        <v>0.08</v>
      </c>
      <c r="O55" s="9">
        <v>0.43</v>
      </c>
      <c r="P55" s="9">
        <v>0.4</v>
      </c>
      <c r="Q55" s="10">
        <f t="shared" si="4"/>
        <v>0.62</v>
      </c>
      <c r="R55" s="10">
        <f t="shared" si="5"/>
        <v>0.8</v>
      </c>
      <c r="S55" s="10">
        <f t="shared" si="6"/>
        <v>0.83000000000000007</v>
      </c>
      <c r="T55" s="10">
        <f t="shared" si="7"/>
        <v>0.21000000000000008</v>
      </c>
    </row>
    <row r="56" spans="1:20" x14ac:dyDescent="0.2">
      <c r="A56" s="2">
        <v>2026</v>
      </c>
      <c r="B56" s="2">
        <v>2</v>
      </c>
      <c r="C56" s="3" t="s">
        <v>22</v>
      </c>
      <c r="D56" s="12">
        <v>95</v>
      </c>
      <c r="E56" s="7">
        <v>0.27</v>
      </c>
      <c r="F56" s="7">
        <v>0.18</v>
      </c>
      <c r="G56" s="7">
        <v>0.24</v>
      </c>
      <c r="H56" s="7">
        <v>0.31</v>
      </c>
      <c r="I56" s="8">
        <v>0.15</v>
      </c>
      <c r="J56" s="8">
        <v>0.08</v>
      </c>
      <c r="K56" s="8">
        <v>0.45</v>
      </c>
      <c r="L56" s="8">
        <v>0.32</v>
      </c>
      <c r="M56" s="9">
        <v>0.06</v>
      </c>
      <c r="N56" s="9">
        <v>0.15</v>
      </c>
      <c r="O56" s="9">
        <v>0.41</v>
      </c>
      <c r="P56" s="9">
        <v>0.38</v>
      </c>
      <c r="Q56" s="10">
        <f t="shared" si="4"/>
        <v>0.55000000000000004</v>
      </c>
      <c r="R56" s="10">
        <f t="shared" si="5"/>
        <v>0.77</v>
      </c>
      <c r="S56" s="10">
        <f t="shared" si="6"/>
        <v>0.79</v>
      </c>
      <c r="T56" s="10">
        <f t="shared" si="7"/>
        <v>0.24</v>
      </c>
    </row>
    <row r="57" spans="1:20" x14ac:dyDescent="0.2">
      <c r="A57" s="2">
        <v>2022</v>
      </c>
      <c r="B57" s="2">
        <v>2</v>
      </c>
      <c r="C57" s="3" t="s">
        <v>21</v>
      </c>
      <c r="D57" s="12">
        <v>96</v>
      </c>
      <c r="E57" s="7">
        <v>0.47</v>
      </c>
      <c r="F57" s="7">
        <v>0.14000000000000001</v>
      </c>
      <c r="G57" s="7">
        <v>0.33</v>
      </c>
      <c r="H57" s="7">
        <v>0.05</v>
      </c>
      <c r="I57" s="8">
        <v>0.31</v>
      </c>
      <c r="J57" s="8">
        <v>0.19</v>
      </c>
      <c r="K57" s="8">
        <v>0.3</v>
      </c>
      <c r="L57" s="8">
        <v>0.2</v>
      </c>
      <c r="M57" s="9">
        <v>0.13</v>
      </c>
      <c r="N57" s="9">
        <v>0.22</v>
      </c>
      <c r="O57" s="9">
        <v>0.38</v>
      </c>
      <c r="P57" s="9">
        <v>0.27</v>
      </c>
      <c r="Q57" s="10">
        <f t="shared" si="4"/>
        <v>0.38</v>
      </c>
      <c r="R57" s="10">
        <f t="shared" si="5"/>
        <v>0.5</v>
      </c>
      <c r="S57" s="10">
        <f t="shared" si="6"/>
        <v>0.65</v>
      </c>
      <c r="T57" s="10">
        <f t="shared" si="7"/>
        <v>0.27</v>
      </c>
    </row>
    <row r="58" spans="1:20" x14ac:dyDescent="0.2">
      <c r="A58" s="2">
        <v>2023</v>
      </c>
      <c r="B58" s="2">
        <v>2</v>
      </c>
      <c r="C58" s="3" t="s">
        <v>21</v>
      </c>
      <c r="D58" s="18">
        <v>95</v>
      </c>
      <c r="E58" s="7">
        <v>0.38</v>
      </c>
      <c r="F58" s="7">
        <v>0.16</v>
      </c>
      <c r="G58" s="7">
        <v>0.35</v>
      </c>
      <c r="H58" s="7">
        <v>0.11</v>
      </c>
      <c r="I58" s="8">
        <v>0.14000000000000001</v>
      </c>
      <c r="J58" s="8">
        <v>0.19</v>
      </c>
      <c r="K58" s="8">
        <v>0.4</v>
      </c>
      <c r="L58" s="8">
        <v>0.27</v>
      </c>
      <c r="M58" s="9">
        <v>0.06</v>
      </c>
      <c r="N58" s="9">
        <v>0.15</v>
      </c>
      <c r="O58" s="9">
        <v>0.46</v>
      </c>
      <c r="P58" s="9">
        <v>0.33</v>
      </c>
      <c r="Q58" s="10">
        <f t="shared" si="4"/>
        <v>0.45999999999999996</v>
      </c>
      <c r="R58" s="10">
        <f t="shared" si="5"/>
        <v>0.67</v>
      </c>
      <c r="S58" s="10">
        <f t="shared" si="6"/>
        <v>0.79</v>
      </c>
      <c r="T58" s="10">
        <f t="shared" si="7"/>
        <v>0.33000000000000007</v>
      </c>
    </row>
    <row r="59" spans="1:20" x14ac:dyDescent="0.2">
      <c r="A59" s="2">
        <v>2024</v>
      </c>
      <c r="B59" s="2">
        <v>2</v>
      </c>
      <c r="C59" s="3" t="s">
        <v>21</v>
      </c>
      <c r="D59" s="18">
        <v>113</v>
      </c>
      <c r="E59" s="7">
        <v>0.28999999999999998</v>
      </c>
      <c r="F59" s="7">
        <v>0.16</v>
      </c>
      <c r="G59" s="7">
        <v>0.38</v>
      </c>
      <c r="H59" s="7">
        <v>0.17</v>
      </c>
      <c r="I59" s="8">
        <v>0.09</v>
      </c>
      <c r="J59" s="8">
        <v>0.15</v>
      </c>
      <c r="K59" s="8">
        <v>0.41</v>
      </c>
      <c r="L59" s="8">
        <v>0.35</v>
      </c>
      <c r="M59" s="9">
        <v>0.05</v>
      </c>
      <c r="N59" s="9">
        <v>0.13</v>
      </c>
      <c r="O59" s="9">
        <v>0.38</v>
      </c>
      <c r="P59" s="9">
        <v>0.44</v>
      </c>
      <c r="Q59" s="10">
        <f t="shared" si="4"/>
        <v>0.55000000000000004</v>
      </c>
      <c r="R59" s="10">
        <f t="shared" si="5"/>
        <v>0.76</v>
      </c>
      <c r="S59" s="10">
        <f t="shared" si="6"/>
        <v>0.82000000000000006</v>
      </c>
      <c r="T59" s="10">
        <f t="shared" si="7"/>
        <v>0.27</v>
      </c>
    </row>
    <row r="60" spans="1:20" x14ac:dyDescent="0.2">
      <c r="A60" s="2">
        <v>2025</v>
      </c>
      <c r="B60" s="2">
        <v>2</v>
      </c>
      <c r="C60" s="3" t="s">
        <v>21</v>
      </c>
      <c r="D60" s="18">
        <v>103</v>
      </c>
      <c r="E60" s="7">
        <v>0.22</v>
      </c>
      <c r="F60" s="7">
        <v>0.14000000000000001</v>
      </c>
      <c r="G60" s="7">
        <v>0.35</v>
      </c>
      <c r="H60" s="7">
        <v>0.28999999999999998</v>
      </c>
      <c r="I60" s="8">
        <v>0.15</v>
      </c>
      <c r="J60" s="8">
        <v>0.17</v>
      </c>
      <c r="K60" s="8">
        <v>0.28999999999999998</v>
      </c>
      <c r="L60" s="8">
        <v>0.39</v>
      </c>
      <c r="M60" s="9">
        <v>0.09</v>
      </c>
      <c r="N60" s="9">
        <v>0.15</v>
      </c>
      <c r="O60" s="9">
        <v>0.37</v>
      </c>
      <c r="P60" s="9">
        <v>0.39</v>
      </c>
      <c r="Q60" s="10">
        <f t="shared" si="4"/>
        <v>0.6399999999999999</v>
      </c>
      <c r="R60" s="10">
        <f t="shared" si="5"/>
        <v>0.67999999999999994</v>
      </c>
      <c r="S60" s="10">
        <f t="shared" si="6"/>
        <v>0.76</v>
      </c>
      <c r="T60" s="10">
        <f t="shared" si="7"/>
        <v>0.12000000000000011</v>
      </c>
    </row>
    <row r="61" spans="1:20" x14ac:dyDescent="0.2">
      <c r="A61" s="2">
        <v>2026</v>
      </c>
      <c r="B61" s="2">
        <v>2</v>
      </c>
      <c r="C61" s="3" t="s">
        <v>21</v>
      </c>
      <c r="D61" s="18">
        <v>95</v>
      </c>
      <c r="E61" s="7">
        <v>0.27</v>
      </c>
      <c r="F61" s="7">
        <v>0.16</v>
      </c>
      <c r="G61" s="7">
        <v>0.27</v>
      </c>
      <c r="H61" s="7">
        <v>0.3</v>
      </c>
      <c r="I61" s="8">
        <v>0.18</v>
      </c>
      <c r="J61" s="8">
        <v>0.11</v>
      </c>
      <c r="K61" s="8">
        <v>0.36</v>
      </c>
      <c r="L61" s="8">
        <v>0.35</v>
      </c>
      <c r="M61" s="9">
        <v>0.06</v>
      </c>
      <c r="N61" s="9">
        <v>0.17</v>
      </c>
      <c r="O61" s="9">
        <v>0.39</v>
      </c>
      <c r="P61" s="9">
        <v>0.38</v>
      </c>
      <c r="Q61" s="10">
        <f t="shared" si="4"/>
        <v>0.57000000000000006</v>
      </c>
      <c r="R61" s="10">
        <f t="shared" si="5"/>
        <v>0.71</v>
      </c>
      <c r="S61" s="10">
        <f t="shared" si="6"/>
        <v>0.77</v>
      </c>
      <c r="T61" s="10">
        <f t="shared" si="7"/>
        <v>0.19999999999999996</v>
      </c>
    </row>
    <row r="62" spans="1:20" x14ac:dyDescent="0.2">
      <c r="A62" s="2">
        <v>2022</v>
      </c>
      <c r="B62" s="2">
        <v>2</v>
      </c>
      <c r="C62" s="3" t="s">
        <v>23</v>
      </c>
      <c r="D62" s="18">
        <v>96</v>
      </c>
      <c r="E62" s="7">
        <v>0.41</v>
      </c>
      <c r="F62" s="7">
        <v>0.13</v>
      </c>
      <c r="G62" s="7">
        <v>0.46</v>
      </c>
      <c r="H62" s="7"/>
      <c r="I62" s="8">
        <v>0.3</v>
      </c>
      <c r="J62" s="8">
        <v>0.14000000000000001</v>
      </c>
      <c r="K62" s="8">
        <v>0.56000000000000005</v>
      </c>
      <c r="L62" s="8"/>
      <c r="M62" s="9">
        <v>0.14000000000000001</v>
      </c>
      <c r="N62" s="9">
        <v>0.06</v>
      </c>
      <c r="O62" s="9">
        <v>0.8</v>
      </c>
      <c r="P62" s="9"/>
      <c r="Q62" s="10">
        <f t="shared" si="4"/>
        <v>0.46</v>
      </c>
      <c r="R62" s="10">
        <f t="shared" si="5"/>
        <v>0.56000000000000005</v>
      </c>
      <c r="S62" s="10">
        <f t="shared" si="6"/>
        <v>0.8</v>
      </c>
      <c r="T62" s="10">
        <f t="shared" si="7"/>
        <v>0.34</v>
      </c>
    </row>
    <row r="63" spans="1:20" x14ac:dyDescent="0.2">
      <c r="A63" s="2">
        <v>2023</v>
      </c>
      <c r="B63" s="2">
        <v>2</v>
      </c>
      <c r="C63" s="3" t="s">
        <v>23</v>
      </c>
      <c r="D63" s="18">
        <v>95</v>
      </c>
      <c r="E63" s="7">
        <v>0.36</v>
      </c>
      <c r="F63" s="7">
        <v>0.21</v>
      </c>
      <c r="G63" s="7">
        <v>0.43</v>
      </c>
      <c r="H63" s="4"/>
      <c r="I63" s="8">
        <v>0.14000000000000001</v>
      </c>
      <c r="J63" s="8">
        <v>0.15</v>
      </c>
      <c r="K63" s="8">
        <v>0.71</v>
      </c>
      <c r="L63" s="5"/>
      <c r="M63" s="9">
        <v>0.06</v>
      </c>
      <c r="N63" s="9">
        <v>0.06</v>
      </c>
      <c r="O63" s="9">
        <v>0.88</v>
      </c>
      <c r="P63" s="6"/>
      <c r="Q63" s="10">
        <f t="shared" si="4"/>
        <v>0.43</v>
      </c>
      <c r="R63" s="10">
        <f t="shared" si="5"/>
        <v>0.71</v>
      </c>
      <c r="S63" s="10">
        <f t="shared" si="6"/>
        <v>0.88</v>
      </c>
      <c r="T63" s="10">
        <f t="shared" si="7"/>
        <v>0.45</v>
      </c>
    </row>
    <row r="64" spans="1:20" x14ac:dyDescent="0.2">
      <c r="A64" s="2">
        <v>2024</v>
      </c>
      <c r="B64" s="2">
        <v>2</v>
      </c>
      <c r="C64" s="3" t="s">
        <v>23</v>
      </c>
      <c r="D64" s="12">
        <v>113</v>
      </c>
      <c r="E64" s="7">
        <v>0.31</v>
      </c>
      <c r="F64" s="7">
        <v>0.18</v>
      </c>
      <c r="G64" s="7">
        <v>0.51</v>
      </c>
      <c r="H64" s="4"/>
      <c r="I64" s="8">
        <v>0.15</v>
      </c>
      <c r="J64" s="8">
        <v>0.14000000000000001</v>
      </c>
      <c r="K64" s="8">
        <v>0.71</v>
      </c>
      <c r="L64" s="5"/>
      <c r="M64" s="9">
        <v>0.1</v>
      </c>
      <c r="N64" s="6"/>
      <c r="O64" s="9">
        <v>0.86</v>
      </c>
      <c r="P64" s="6"/>
      <c r="Q64" s="10">
        <f t="shared" si="4"/>
        <v>0.51</v>
      </c>
      <c r="R64" s="10">
        <f t="shared" si="5"/>
        <v>0.71</v>
      </c>
      <c r="S64" s="10">
        <f t="shared" si="6"/>
        <v>0.86</v>
      </c>
      <c r="T64" s="10">
        <f t="shared" si="7"/>
        <v>0.35</v>
      </c>
    </row>
    <row r="65" spans="1:20" x14ac:dyDescent="0.2">
      <c r="A65" s="2">
        <v>2025</v>
      </c>
      <c r="B65" s="2">
        <v>2</v>
      </c>
      <c r="C65" s="3" t="s">
        <v>23</v>
      </c>
      <c r="D65" s="12">
        <v>103</v>
      </c>
      <c r="E65" s="7">
        <v>0.27</v>
      </c>
      <c r="F65" s="7">
        <v>0.1</v>
      </c>
      <c r="G65" s="7">
        <v>0.63</v>
      </c>
      <c r="H65" s="4"/>
      <c r="I65" s="8">
        <v>0.17</v>
      </c>
      <c r="J65" s="8">
        <v>0.09</v>
      </c>
      <c r="K65" s="8">
        <v>0.74</v>
      </c>
      <c r="L65" s="5"/>
      <c r="M65" s="9">
        <v>0.08</v>
      </c>
      <c r="N65" s="6"/>
      <c r="O65" s="9">
        <v>0.88</v>
      </c>
      <c r="P65" s="6"/>
      <c r="Q65" s="10">
        <f t="shared" si="4"/>
        <v>0.63</v>
      </c>
      <c r="R65" s="10">
        <f t="shared" si="5"/>
        <v>0.74</v>
      </c>
      <c r="S65" s="10">
        <f t="shared" si="6"/>
        <v>0.88</v>
      </c>
      <c r="T65" s="10">
        <f t="shared" si="7"/>
        <v>0.25</v>
      </c>
    </row>
    <row r="66" spans="1:20" x14ac:dyDescent="0.2">
      <c r="A66" s="2">
        <v>2026</v>
      </c>
      <c r="B66" s="2">
        <v>2</v>
      </c>
      <c r="C66" s="3" t="s">
        <v>23</v>
      </c>
      <c r="D66" s="12">
        <v>95</v>
      </c>
      <c r="E66" s="7">
        <v>0.31</v>
      </c>
      <c r="F66" s="7">
        <v>0.11</v>
      </c>
      <c r="G66" s="7">
        <v>0.57999999999999996</v>
      </c>
      <c r="H66" s="4"/>
      <c r="I66" s="8">
        <v>0.16</v>
      </c>
      <c r="J66" s="8">
        <v>0.18</v>
      </c>
      <c r="K66" s="8">
        <v>0.66</v>
      </c>
      <c r="L66" s="5"/>
      <c r="M66" s="9">
        <v>0.1</v>
      </c>
      <c r="N66" s="9">
        <v>0.08</v>
      </c>
      <c r="O66" s="9">
        <v>0.82</v>
      </c>
      <c r="P66" s="6"/>
      <c r="Q66" s="10">
        <f t="shared" ref="Q66:Q97" si="8">SUM(G66:H66)</f>
        <v>0.57999999999999996</v>
      </c>
      <c r="R66" s="10">
        <f t="shared" ref="R66:R97" si="9">SUM(K66:L66)</f>
        <v>0.66</v>
      </c>
      <c r="S66" s="10">
        <f t="shared" ref="S66:S97" si="10">SUM(O66:P66)</f>
        <v>0.82</v>
      </c>
      <c r="T66" s="10">
        <f t="shared" ref="T66:T97" si="11">S66-Q66</f>
        <v>0.24</v>
      </c>
    </row>
    <row r="67" spans="1:20" x14ac:dyDescent="0.2">
      <c r="A67" s="2">
        <v>2022</v>
      </c>
      <c r="B67" s="2">
        <v>2</v>
      </c>
      <c r="C67" s="3" t="s">
        <v>24</v>
      </c>
      <c r="D67" s="12">
        <v>96</v>
      </c>
      <c r="E67" s="7">
        <v>0.43</v>
      </c>
      <c r="F67" s="7">
        <v>0.16</v>
      </c>
      <c r="G67" s="7">
        <v>0.31</v>
      </c>
      <c r="H67" s="7">
        <v>0.1</v>
      </c>
      <c r="I67" s="8">
        <v>0.42</v>
      </c>
      <c r="J67" s="8">
        <v>0.09</v>
      </c>
      <c r="K67" s="8">
        <v>0.34</v>
      </c>
      <c r="L67" s="8">
        <v>0.15</v>
      </c>
      <c r="M67" s="9">
        <v>0.36</v>
      </c>
      <c r="N67" s="9">
        <v>0.13</v>
      </c>
      <c r="O67" s="9">
        <v>0.31</v>
      </c>
      <c r="P67" s="9">
        <v>0.2</v>
      </c>
      <c r="Q67" s="10">
        <f t="shared" si="8"/>
        <v>0.41000000000000003</v>
      </c>
      <c r="R67" s="10">
        <f t="shared" si="9"/>
        <v>0.49</v>
      </c>
      <c r="S67" s="10">
        <f t="shared" si="10"/>
        <v>0.51</v>
      </c>
      <c r="T67" s="10">
        <f t="shared" si="11"/>
        <v>9.9999999999999978E-2</v>
      </c>
    </row>
    <row r="68" spans="1:20" x14ac:dyDescent="0.2">
      <c r="A68" s="2">
        <v>2023</v>
      </c>
      <c r="B68" s="2">
        <v>2</v>
      </c>
      <c r="C68" s="3" t="s">
        <v>24</v>
      </c>
      <c r="D68" s="12">
        <v>95</v>
      </c>
      <c r="E68" s="7">
        <v>0.38</v>
      </c>
      <c r="F68" s="7">
        <v>0.19</v>
      </c>
      <c r="G68" s="7">
        <v>0.32</v>
      </c>
      <c r="H68" s="7">
        <v>0.11</v>
      </c>
      <c r="I68" s="8">
        <v>0.3</v>
      </c>
      <c r="J68" s="8">
        <v>0.22</v>
      </c>
      <c r="K68" s="8">
        <v>0.32</v>
      </c>
      <c r="L68" s="8">
        <v>0.16</v>
      </c>
      <c r="M68" s="9">
        <v>0.21</v>
      </c>
      <c r="N68" s="9">
        <v>0.14000000000000001</v>
      </c>
      <c r="O68" s="9">
        <v>0.34</v>
      </c>
      <c r="P68" s="9">
        <v>0.31</v>
      </c>
      <c r="Q68" s="10">
        <f t="shared" si="8"/>
        <v>0.43</v>
      </c>
      <c r="R68" s="10">
        <f t="shared" si="9"/>
        <v>0.48</v>
      </c>
      <c r="S68" s="10">
        <f t="shared" si="10"/>
        <v>0.65</v>
      </c>
      <c r="T68" s="10">
        <f t="shared" si="11"/>
        <v>0.22000000000000003</v>
      </c>
    </row>
    <row r="69" spans="1:20" x14ac:dyDescent="0.2">
      <c r="A69" s="2">
        <v>2024</v>
      </c>
      <c r="B69" s="2">
        <v>2</v>
      </c>
      <c r="C69" s="3" t="s">
        <v>24</v>
      </c>
      <c r="D69" s="12">
        <v>113</v>
      </c>
      <c r="E69" s="7">
        <v>0.36</v>
      </c>
      <c r="F69" s="7">
        <v>0.15</v>
      </c>
      <c r="G69" s="7">
        <v>0.37</v>
      </c>
      <c r="H69" s="7">
        <v>0.12</v>
      </c>
      <c r="I69" s="8">
        <v>0.26</v>
      </c>
      <c r="J69" s="8">
        <v>0.15</v>
      </c>
      <c r="K69" s="8">
        <v>0.41</v>
      </c>
      <c r="L69" s="8">
        <v>0.18</v>
      </c>
      <c r="M69" s="9">
        <v>0.2</v>
      </c>
      <c r="N69" s="9">
        <v>0.13</v>
      </c>
      <c r="O69" s="9">
        <v>0.4</v>
      </c>
      <c r="P69" s="9">
        <v>0.27</v>
      </c>
      <c r="Q69" s="10">
        <f t="shared" si="8"/>
        <v>0.49</v>
      </c>
      <c r="R69" s="10">
        <f t="shared" si="9"/>
        <v>0.59</v>
      </c>
      <c r="S69" s="10">
        <f t="shared" si="10"/>
        <v>0.67</v>
      </c>
      <c r="T69" s="10">
        <f t="shared" si="11"/>
        <v>0.18000000000000005</v>
      </c>
    </row>
    <row r="70" spans="1:20" x14ac:dyDescent="0.2">
      <c r="A70" s="2">
        <v>2025</v>
      </c>
      <c r="B70" s="2">
        <v>2</v>
      </c>
      <c r="C70" s="3" t="s">
        <v>24</v>
      </c>
      <c r="D70" s="12">
        <v>103</v>
      </c>
      <c r="E70" s="7">
        <v>0.31</v>
      </c>
      <c r="F70" s="7">
        <v>0.08</v>
      </c>
      <c r="G70" s="7">
        <v>0.38</v>
      </c>
      <c r="H70" s="7">
        <v>0.23</v>
      </c>
      <c r="I70" s="8">
        <v>0.23</v>
      </c>
      <c r="J70" s="8">
        <v>0.15</v>
      </c>
      <c r="K70" s="8">
        <v>0.33</v>
      </c>
      <c r="L70" s="8">
        <v>0.28999999999999998</v>
      </c>
      <c r="M70" s="9">
        <v>0.21</v>
      </c>
      <c r="N70" s="9">
        <v>0.1</v>
      </c>
      <c r="O70" s="9">
        <v>0.34</v>
      </c>
      <c r="P70" s="9">
        <v>0.35</v>
      </c>
      <c r="Q70" s="10">
        <f t="shared" si="8"/>
        <v>0.61</v>
      </c>
      <c r="R70" s="10">
        <f t="shared" si="9"/>
        <v>0.62</v>
      </c>
      <c r="S70" s="10">
        <f t="shared" si="10"/>
        <v>0.69</v>
      </c>
      <c r="T70" s="10">
        <f t="shared" si="11"/>
        <v>7.999999999999996E-2</v>
      </c>
    </row>
    <row r="71" spans="1:20" x14ac:dyDescent="0.2">
      <c r="A71" s="2">
        <v>2026</v>
      </c>
      <c r="B71" s="2">
        <v>2</v>
      </c>
      <c r="C71" s="3" t="s">
        <v>24</v>
      </c>
      <c r="D71" s="12">
        <v>95</v>
      </c>
      <c r="E71" s="7">
        <v>0.31</v>
      </c>
      <c r="F71" s="7">
        <v>0.17</v>
      </c>
      <c r="G71" s="7">
        <v>0.37</v>
      </c>
      <c r="H71" s="7">
        <v>0.15</v>
      </c>
      <c r="I71" s="8">
        <v>0.26</v>
      </c>
      <c r="J71" s="8">
        <v>0.17</v>
      </c>
      <c r="K71" s="8">
        <v>0.34</v>
      </c>
      <c r="L71" s="8">
        <v>0.23</v>
      </c>
      <c r="M71" s="9">
        <v>0.28000000000000003</v>
      </c>
      <c r="N71" s="9">
        <v>0.2</v>
      </c>
      <c r="O71" s="9">
        <v>0.27</v>
      </c>
      <c r="P71" s="9">
        <v>0.25</v>
      </c>
      <c r="Q71" s="10">
        <f t="shared" si="8"/>
        <v>0.52</v>
      </c>
      <c r="R71" s="10">
        <f t="shared" si="9"/>
        <v>0.57000000000000006</v>
      </c>
      <c r="S71" s="10">
        <f t="shared" si="10"/>
        <v>0.52</v>
      </c>
      <c r="T71" s="10">
        <f t="shared" si="11"/>
        <v>0</v>
      </c>
    </row>
    <row r="72" spans="1:20" x14ac:dyDescent="0.2">
      <c r="A72" s="2">
        <v>2022</v>
      </c>
      <c r="B72" s="2">
        <v>2</v>
      </c>
      <c r="C72" s="3" t="s">
        <v>19</v>
      </c>
      <c r="D72" s="12">
        <v>96</v>
      </c>
      <c r="E72" s="7">
        <v>0.35</v>
      </c>
      <c r="F72" s="7">
        <v>0.18</v>
      </c>
      <c r="G72" s="7">
        <v>0.35</v>
      </c>
      <c r="H72" s="7">
        <v>0.11</v>
      </c>
      <c r="I72" s="8">
        <v>0.31</v>
      </c>
      <c r="J72" s="8">
        <v>0.18</v>
      </c>
      <c r="K72" s="8">
        <v>0.31</v>
      </c>
      <c r="L72" s="8">
        <v>0.2</v>
      </c>
      <c r="M72" s="9">
        <v>0.26</v>
      </c>
      <c r="N72" s="9">
        <v>0.17</v>
      </c>
      <c r="O72" s="9">
        <v>0.3</v>
      </c>
      <c r="P72" s="9">
        <v>0.27</v>
      </c>
      <c r="Q72" s="10">
        <f t="shared" si="8"/>
        <v>0.45999999999999996</v>
      </c>
      <c r="R72" s="10">
        <f t="shared" si="9"/>
        <v>0.51</v>
      </c>
      <c r="S72" s="10">
        <f t="shared" si="10"/>
        <v>0.57000000000000006</v>
      </c>
      <c r="T72" s="10">
        <f t="shared" si="11"/>
        <v>0.1100000000000001</v>
      </c>
    </row>
    <row r="73" spans="1:20" x14ac:dyDescent="0.2">
      <c r="A73" s="2">
        <v>2023</v>
      </c>
      <c r="B73" s="2">
        <v>2</v>
      </c>
      <c r="C73" s="3" t="s">
        <v>19</v>
      </c>
      <c r="D73" s="12">
        <v>95</v>
      </c>
      <c r="E73" s="7">
        <v>0.33</v>
      </c>
      <c r="F73" s="7">
        <v>0.13</v>
      </c>
      <c r="G73" s="7">
        <v>0.35</v>
      </c>
      <c r="H73" s="7">
        <v>0.19</v>
      </c>
      <c r="I73" s="8">
        <v>0.2</v>
      </c>
      <c r="J73" s="8">
        <v>0.23</v>
      </c>
      <c r="K73" s="8">
        <v>0.38</v>
      </c>
      <c r="L73" s="8">
        <v>0.19</v>
      </c>
      <c r="M73" s="9">
        <v>0.13</v>
      </c>
      <c r="N73" s="9">
        <v>0.17</v>
      </c>
      <c r="O73" s="9">
        <v>0.42</v>
      </c>
      <c r="P73" s="9">
        <v>0.28000000000000003</v>
      </c>
      <c r="Q73" s="10">
        <f t="shared" si="8"/>
        <v>0.54</v>
      </c>
      <c r="R73" s="10">
        <f t="shared" si="9"/>
        <v>0.57000000000000006</v>
      </c>
      <c r="S73" s="10">
        <f t="shared" si="10"/>
        <v>0.7</v>
      </c>
      <c r="T73" s="10">
        <f t="shared" si="11"/>
        <v>0.15999999999999992</v>
      </c>
    </row>
    <row r="74" spans="1:20" x14ac:dyDescent="0.2">
      <c r="A74" s="2">
        <v>2024</v>
      </c>
      <c r="B74" s="2">
        <v>2</v>
      </c>
      <c r="C74" s="3" t="s">
        <v>19</v>
      </c>
      <c r="D74" s="12">
        <v>113</v>
      </c>
      <c r="E74" s="7">
        <v>0.26</v>
      </c>
      <c r="F74" s="7">
        <v>0.13</v>
      </c>
      <c r="G74" s="7">
        <v>0.36</v>
      </c>
      <c r="H74" s="7">
        <v>0.25</v>
      </c>
      <c r="I74" s="8">
        <v>0.19</v>
      </c>
      <c r="J74" s="8">
        <v>0.16</v>
      </c>
      <c r="K74" s="8">
        <v>0.38</v>
      </c>
      <c r="L74" s="8">
        <v>0.27</v>
      </c>
      <c r="M74" s="9">
        <v>0.14000000000000001</v>
      </c>
      <c r="N74" s="9">
        <v>0.12</v>
      </c>
      <c r="O74" s="9">
        <v>0.32</v>
      </c>
      <c r="P74" s="9">
        <v>0.42</v>
      </c>
      <c r="Q74" s="10">
        <f t="shared" si="8"/>
        <v>0.61</v>
      </c>
      <c r="R74" s="10">
        <f t="shared" si="9"/>
        <v>0.65</v>
      </c>
      <c r="S74" s="10">
        <f t="shared" si="10"/>
        <v>0.74</v>
      </c>
      <c r="T74" s="10">
        <f t="shared" si="11"/>
        <v>0.13</v>
      </c>
    </row>
    <row r="75" spans="1:20" x14ac:dyDescent="0.2">
      <c r="A75" s="2">
        <v>2025</v>
      </c>
      <c r="B75" s="2">
        <v>2</v>
      </c>
      <c r="C75" s="3" t="s">
        <v>19</v>
      </c>
      <c r="D75" s="12">
        <v>103</v>
      </c>
      <c r="E75" s="7">
        <v>0.25</v>
      </c>
      <c r="F75" s="7">
        <v>0.12</v>
      </c>
      <c r="G75" s="7">
        <v>0.36</v>
      </c>
      <c r="H75" s="7">
        <v>0.27</v>
      </c>
      <c r="I75" s="8">
        <v>0.18</v>
      </c>
      <c r="J75" s="8">
        <v>0.14000000000000001</v>
      </c>
      <c r="K75" s="8">
        <v>0.28999999999999998</v>
      </c>
      <c r="L75" s="8">
        <v>0.39</v>
      </c>
      <c r="M75" s="9">
        <v>0.15</v>
      </c>
      <c r="N75" s="9">
        <v>0.09</v>
      </c>
      <c r="O75" s="9">
        <v>0.33</v>
      </c>
      <c r="P75" s="9">
        <v>0.43</v>
      </c>
      <c r="Q75" s="10">
        <f t="shared" si="8"/>
        <v>0.63</v>
      </c>
      <c r="R75" s="10">
        <f t="shared" si="9"/>
        <v>0.67999999999999994</v>
      </c>
      <c r="S75" s="10">
        <f t="shared" si="10"/>
        <v>0.76</v>
      </c>
      <c r="T75" s="10">
        <f t="shared" si="11"/>
        <v>0.13</v>
      </c>
    </row>
    <row r="76" spans="1:20" x14ac:dyDescent="0.2">
      <c r="A76" s="2">
        <v>2026</v>
      </c>
      <c r="B76" s="2">
        <v>2</v>
      </c>
      <c r="C76" s="3" t="s">
        <v>19</v>
      </c>
      <c r="D76" s="12">
        <v>95</v>
      </c>
      <c r="E76" s="7">
        <v>0.28999999999999998</v>
      </c>
      <c r="F76" s="7">
        <v>0.14000000000000001</v>
      </c>
      <c r="G76" s="7">
        <v>0.24</v>
      </c>
      <c r="H76" s="7">
        <v>0.33</v>
      </c>
      <c r="I76" s="8">
        <v>0.24</v>
      </c>
      <c r="J76" s="8">
        <v>0.13</v>
      </c>
      <c r="K76" s="8">
        <v>0.33</v>
      </c>
      <c r="L76" s="8">
        <v>0.3</v>
      </c>
      <c r="M76" s="9">
        <v>0.16</v>
      </c>
      <c r="N76" s="9">
        <v>0.15</v>
      </c>
      <c r="O76" s="9">
        <v>0.37</v>
      </c>
      <c r="P76" s="9">
        <v>0.32</v>
      </c>
      <c r="Q76" s="10">
        <f t="shared" si="8"/>
        <v>0.57000000000000006</v>
      </c>
      <c r="R76" s="10">
        <f t="shared" si="9"/>
        <v>0.63</v>
      </c>
      <c r="S76" s="10">
        <f t="shared" si="10"/>
        <v>0.69</v>
      </c>
      <c r="T76" s="10">
        <f t="shared" si="11"/>
        <v>0.11999999999999988</v>
      </c>
    </row>
    <row r="77" spans="1:20" x14ac:dyDescent="0.2">
      <c r="A77" s="2">
        <v>2022</v>
      </c>
      <c r="B77" s="2">
        <v>3</v>
      </c>
      <c r="C77" s="3" t="s">
        <v>25</v>
      </c>
      <c r="D77" s="12">
        <v>104</v>
      </c>
      <c r="E77" s="7">
        <v>0.52</v>
      </c>
      <c r="F77" s="7">
        <v>0.22</v>
      </c>
      <c r="G77" s="7">
        <v>0.21</v>
      </c>
      <c r="H77" s="7">
        <v>0.05</v>
      </c>
      <c r="I77" s="8">
        <v>0.47</v>
      </c>
      <c r="J77" s="8">
        <v>0.13</v>
      </c>
      <c r="K77" s="8">
        <v>0.28999999999999998</v>
      </c>
      <c r="L77" s="8">
        <v>0.11</v>
      </c>
      <c r="M77" s="9">
        <v>0.31</v>
      </c>
      <c r="N77" s="9">
        <v>0.16</v>
      </c>
      <c r="O77" s="9">
        <v>0.34</v>
      </c>
      <c r="P77" s="9">
        <v>0.19</v>
      </c>
      <c r="Q77" s="10">
        <f t="shared" si="8"/>
        <v>0.26</v>
      </c>
      <c r="R77" s="10">
        <f t="shared" si="9"/>
        <v>0.39999999999999997</v>
      </c>
      <c r="S77" s="10">
        <f t="shared" si="10"/>
        <v>0.53</v>
      </c>
      <c r="T77" s="10">
        <f t="shared" si="11"/>
        <v>0.27</v>
      </c>
    </row>
    <row r="78" spans="1:20" x14ac:dyDescent="0.2">
      <c r="A78" s="2">
        <v>2023</v>
      </c>
      <c r="B78" s="2">
        <v>3</v>
      </c>
      <c r="C78" s="3" t="s">
        <v>25</v>
      </c>
      <c r="D78" s="12">
        <v>119</v>
      </c>
      <c r="E78" s="7">
        <v>0.32</v>
      </c>
      <c r="F78" s="7">
        <v>0.17</v>
      </c>
      <c r="G78" s="7">
        <v>0.3</v>
      </c>
      <c r="H78" s="7">
        <v>0.21</v>
      </c>
      <c r="I78" s="8">
        <v>0.37</v>
      </c>
      <c r="J78" s="8">
        <v>0.15</v>
      </c>
      <c r="K78" s="8">
        <v>0.33</v>
      </c>
      <c r="L78" s="8">
        <v>0.15</v>
      </c>
      <c r="M78" s="9">
        <v>0.25</v>
      </c>
      <c r="N78" s="9">
        <v>0.18</v>
      </c>
      <c r="O78" s="9">
        <v>0.35</v>
      </c>
      <c r="P78" s="9">
        <v>0.22</v>
      </c>
      <c r="Q78" s="10">
        <f t="shared" si="8"/>
        <v>0.51</v>
      </c>
      <c r="R78" s="10">
        <f t="shared" si="9"/>
        <v>0.48</v>
      </c>
      <c r="S78" s="10">
        <f t="shared" si="10"/>
        <v>0.56999999999999995</v>
      </c>
      <c r="T78" s="10">
        <f t="shared" si="11"/>
        <v>5.9999999999999942E-2</v>
      </c>
    </row>
    <row r="79" spans="1:20" x14ac:dyDescent="0.2">
      <c r="A79" s="2">
        <v>2024</v>
      </c>
      <c r="B79" s="2">
        <v>3</v>
      </c>
      <c r="C79" s="3" t="s">
        <v>25</v>
      </c>
      <c r="D79" s="12">
        <v>96</v>
      </c>
      <c r="E79" s="7">
        <v>0.24</v>
      </c>
      <c r="F79" s="7">
        <v>0.2</v>
      </c>
      <c r="G79" s="7">
        <v>0.39</v>
      </c>
      <c r="H79" s="7">
        <v>0.17</v>
      </c>
      <c r="I79" s="8">
        <v>0.26</v>
      </c>
      <c r="J79" s="8">
        <v>7.0000000000000007E-2</v>
      </c>
      <c r="K79" s="8">
        <v>0.44</v>
      </c>
      <c r="L79" s="8">
        <v>0.23</v>
      </c>
      <c r="M79" s="9">
        <v>0.18</v>
      </c>
      <c r="N79" s="9">
        <v>0.1</v>
      </c>
      <c r="O79" s="9">
        <v>0.45</v>
      </c>
      <c r="P79" s="9">
        <v>0.27</v>
      </c>
      <c r="Q79" s="10">
        <f t="shared" si="8"/>
        <v>0.56000000000000005</v>
      </c>
      <c r="R79" s="10">
        <f t="shared" si="9"/>
        <v>0.67</v>
      </c>
      <c r="S79" s="10">
        <f t="shared" si="10"/>
        <v>0.72</v>
      </c>
      <c r="T79" s="10">
        <f t="shared" si="11"/>
        <v>0.15999999999999992</v>
      </c>
    </row>
    <row r="80" spans="1:20" x14ac:dyDescent="0.2">
      <c r="A80" s="2">
        <v>2025</v>
      </c>
      <c r="B80" s="2">
        <v>3</v>
      </c>
      <c r="C80" s="3" t="s">
        <v>25</v>
      </c>
      <c r="D80" s="12">
        <v>120</v>
      </c>
      <c r="E80" s="7">
        <v>0.25</v>
      </c>
      <c r="F80" s="7">
        <v>0.2</v>
      </c>
      <c r="G80" s="7">
        <v>0.32</v>
      </c>
      <c r="H80" s="7">
        <v>0.23</v>
      </c>
      <c r="I80" s="8">
        <v>0.24</v>
      </c>
      <c r="J80" s="8">
        <v>0.1</v>
      </c>
      <c r="K80" s="8">
        <v>0.35</v>
      </c>
      <c r="L80" s="8">
        <v>0.31</v>
      </c>
      <c r="M80" s="9">
        <v>0.26</v>
      </c>
      <c r="N80" s="9">
        <v>0.1</v>
      </c>
      <c r="O80" s="9">
        <v>0.41</v>
      </c>
      <c r="P80" s="9">
        <v>0.23</v>
      </c>
      <c r="Q80" s="10">
        <f t="shared" si="8"/>
        <v>0.55000000000000004</v>
      </c>
      <c r="R80" s="10">
        <f t="shared" si="9"/>
        <v>0.65999999999999992</v>
      </c>
      <c r="S80" s="10">
        <f t="shared" si="10"/>
        <v>0.64</v>
      </c>
      <c r="T80" s="10">
        <f t="shared" si="11"/>
        <v>8.9999999999999969E-2</v>
      </c>
    </row>
    <row r="81" spans="1:20" x14ac:dyDescent="0.2">
      <c r="A81" s="2">
        <v>2026</v>
      </c>
      <c r="B81" s="2">
        <v>3</v>
      </c>
      <c r="C81" s="3" t="s">
        <v>25</v>
      </c>
      <c r="D81" s="12">
        <v>100</v>
      </c>
      <c r="E81" s="7">
        <v>0.25</v>
      </c>
      <c r="F81" s="7">
        <v>0.2</v>
      </c>
      <c r="G81" s="7">
        <v>0.31</v>
      </c>
      <c r="H81" s="7">
        <v>0.24</v>
      </c>
      <c r="I81" s="8">
        <v>0.24</v>
      </c>
      <c r="J81" s="8">
        <v>0.08</v>
      </c>
      <c r="K81" s="8">
        <v>0.34</v>
      </c>
      <c r="L81" s="8">
        <v>0.34</v>
      </c>
      <c r="M81" s="9">
        <v>0.19</v>
      </c>
      <c r="N81" s="9">
        <v>0.12</v>
      </c>
      <c r="O81" s="9">
        <v>0.32</v>
      </c>
      <c r="P81" s="9">
        <v>0.37</v>
      </c>
      <c r="Q81" s="10">
        <f t="shared" si="8"/>
        <v>0.55000000000000004</v>
      </c>
      <c r="R81" s="10">
        <f t="shared" si="9"/>
        <v>0.68</v>
      </c>
      <c r="S81" s="10">
        <f t="shared" si="10"/>
        <v>0.69</v>
      </c>
      <c r="T81" s="10">
        <f t="shared" si="11"/>
        <v>0.1399999999999999</v>
      </c>
    </row>
    <row r="82" spans="1:20" x14ac:dyDescent="0.2">
      <c r="A82" s="2">
        <v>2022</v>
      </c>
      <c r="B82" s="2">
        <v>3</v>
      </c>
      <c r="C82" s="3" t="s">
        <v>17</v>
      </c>
      <c r="D82" s="12">
        <v>104</v>
      </c>
      <c r="E82" s="7">
        <v>0.47</v>
      </c>
      <c r="F82" s="7">
        <v>0.25</v>
      </c>
      <c r="G82" s="7">
        <v>0.24</v>
      </c>
      <c r="H82" s="7"/>
      <c r="I82" s="8">
        <v>0.4</v>
      </c>
      <c r="J82" s="8">
        <v>0.14000000000000001</v>
      </c>
      <c r="K82" s="8">
        <v>0.34</v>
      </c>
      <c r="L82" s="8">
        <v>0.12</v>
      </c>
      <c r="M82" s="9">
        <v>0.34</v>
      </c>
      <c r="N82" s="9">
        <v>0.17</v>
      </c>
      <c r="O82" s="9">
        <v>0.2</v>
      </c>
      <c r="P82" s="9">
        <v>0.28999999999999998</v>
      </c>
      <c r="Q82" s="10">
        <f t="shared" si="8"/>
        <v>0.24</v>
      </c>
      <c r="R82" s="10">
        <f t="shared" si="9"/>
        <v>0.46</v>
      </c>
      <c r="S82" s="10">
        <f t="shared" si="10"/>
        <v>0.49</v>
      </c>
      <c r="T82" s="10">
        <f t="shared" si="11"/>
        <v>0.25</v>
      </c>
    </row>
    <row r="83" spans="1:20" x14ac:dyDescent="0.2">
      <c r="A83" s="2">
        <v>2023</v>
      </c>
      <c r="B83" s="2">
        <v>3</v>
      </c>
      <c r="C83" s="3" t="s">
        <v>17</v>
      </c>
      <c r="D83" s="12">
        <v>119</v>
      </c>
      <c r="E83" s="7">
        <v>0.31</v>
      </c>
      <c r="F83" s="7">
        <v>0.25</v>
      </c>
      <c r="G83" s="7">
        <v>0.34</v>
      </c>
      <c r="H83" s="7">
        <v>0.1</v>
      </c>
      <c r="I83" s="8">
        <v>0.28999999999999998</v>
      </c>
      <c r="J83" s="8">
        <v>0.15</v>
      </c>
      <c r="K83" s="8">
        <v>0.41</v>
      </c>
      <c r="L83" s="8">
        <v>0.15</v>
      </c>
      <c r="M83" s="9">
        <v>0.2</v>
      </c>
      <c r="N83" s="9">
        <v>0.25</v>
      </c>
      <c r="O83" s="9">
        <v>0.25</v>
      </c>
      <c r="P83" s="9">
        <v>0.3</v>
      </c>
      <c r="Q83" s="10">
        <f t="shared" si="8"/>
        <v>0.44000000000000006</v>
      </c>
      <c r="R83" s="10">
        <f t="shared" si="9"/>
        <v>0.55999999999999994</v>
      </c>
      <c r="S83" s="10">
        <f t="shared" si="10"/>
        <v>0.55000000000000004</v>
      </c>
      <c r="T83" s="10">
        <f t="shared" si="11"/>
        <v>0.10999999999999999</v>
      </c>
    </row>
    <row r="84" spans="1:20" x14ac:dyDescent="0.2">
      <c r="A84" s="2">
        <v>2024</v>
      </c>
      <c r="B84" s="2">
        <v>3</v>
      </c>
      <c r="C84" s="3" t="s">
        <v>17</v>
      </c>
      <c r="D84" s="12">
        <v>96</v>
      </c>
      <c r="E84" s="7">
        <v>0.2</v>
      </c>
      <c r="F84" s="7">
        <v>0.22</v>
      </c>
      <c r="G84" s="7">
        <v>0.4</v>
      </c>
      <c r="H84" s="7">
        <v>0.18</v>
      </c>
      <c r="I84" s="8">
        <v>0.21</v>
      </c>
      <c r="J84" s="8">
        <v>0.13</v>
      </c>
      <c r="K84" s="8">
        <v>0.48</v>
      </c>
      <c r="L84" s="8">
        <v>0.18</v>
      </c>
      <c r="M84" s="9">
        <v>0.15</v>
      </c>
      <c r="N84" s="9">
        <v>0.18</v>
      </c>
      <c r="O84" s="9">
        <v>0.36</v>
      </c>
      <c r="P84" s="9">
        <v>0.31</v>
      </c>
      <c r="Q84" s="10">
        <f t="shared" si="8"/>
        <v>0.58000000000000007</v>
      </c>
      <c r="R84" s="10">
        <f t="shared" si="9"/>
        <v>0.65999999999999992</v>
      </c>
      <c r="S84" s="10">
        <f t="shared" si="10"/>
        <v>0.66999999999999993</v>
      </c>
      <c r="T84" s="10">
        <f t="shared" si="11"/>
        <v>8.9999999999999858E-2</v>
      </c>
    </row>
    <row r="85" spans="1:20" x14ac:dyDescent="0.2">
      <c r="A85" s="2">
        <v>2025</v>
      </c>
      <c r="B85" s="2">
        <v>3</v>
      </c>
      <c r="C85" s="3" t="s">
        <v>17</v>
      </c>
      <c r="D85" s="12">
        <v>120</v>
      </c>
      <c r="E85" s="7">
        <v>0.19</v>
      </c>
      <c r="F85" s="7">
        <v>0.24</v>
      </c>
      <c r="G85" s="7">
        <v>0.31</v>
      </c>
      <c r="H85" s="7">
        <v>0.26</v>
      </c>
      <c r="I85" s="8">
        <v>0.16</v>
      </c>
      <c r="J85" s="8">
        <v>0.2</v>
      </c>
      <c r="K85" s="8">
        <v>0.36</v>
      </c>
      <c r="L85" s="8">
        <v>0.28000000000000003</v>
      </c>
      <c r="M85" s="9">
        <v>0.13</v>
      </c>
      <c r="N85" s="9">
        <v>0.23</v>
      </c>
      <c r="O85" s="9">
        <v>0.25</v>
      </c>
      <c r="P85" s="9">
        <v>0.39</v>
      </c>
      <c r="Q85" s="10">
        <f t="shared" si="8"/>
        <v>0.57000000000000006</v>
      </c>
      <c r="R85" s="10">
        <f t="shared" si="9"/>
        <v>0.64</v>
      </c>
      <c r="S85" s="10">
        <f t="shared" si="10"/>
        <v>0.64</v>
      </c>
      <c r="T85" s="10">
        <f t="shared" si="11"/>
        <v>6.9999999999999951E-2</v>
      </c>
    </row>
    <row r="86" spans="1:20" x14ac:dyDescent="0.2">
      <c r="A86" s="2">
        <v>2026</v>
      </c>
      <c r="B86" s="2">
        <v>3</v>
      </c>
      <c r="C86" s="3" t="s">
        <v>17</v>
      </c>
      <c r="D86" s="12">
        <v>100</v>
      </c>
      <c r="E86" s="7">
        <v>0.2</v>
      </c>
      <c r="F86" s="7">
        <v>0.13</v>
      </c>
      <c r="G86" s="7">
        <v>0.38</v>
      </c>
      <c r="H86" s="7">
        <v>0.28999999999999998</v>
      </c>
      <c r="I86" s="8">
        <v>0.17</v>
      </c>
      <c r="J86" s="8">
        <v>0.11</v>
      </c>
      <c r="K86" s="8">
        <v>0.39</v>
      </c>
      <c r="L86" s="8">
        <v>0.33</v>
      </c>
      <c r="M86" s="9">
        <v>0.14000000000000001</v>
      </c>
      <c r="N86" s="9">
        <v>0.19</v>
      </c>
      <c r="O86" s="9">
        <v>0.21</v>
      </c>
      <c r="P86" s="9">
        <v>0.46</v>
      </c>
      <c r="Q86" s="10">
        <f t="shared" si="8"/>
        <v>0.66999999999999993</v>
      </c>
      <c r="R86" s="10">
        <f t="shared" si="9"/>
        <v>0.72</v>
      </c>
      <c r="S86" s="10">
        <f t="shared" si="10"/>
        <v>0.67</v>
      </c>
      <c r="T86" s="10">
        <f t="shared" si="11"/>
        <v>0</v>
      </c>
    </row>
    <row r="87" spans="1:20" x14ac:dyDescent="0.2">
      <c r="A87" s="2">
        <v>2022</v>
      </c>
      <c r="B87" s="2">
        <v>3</v>
      </c>
      <c r="C87" s="3" t="s">
        <v>22</v>
      </c>
      <c r="D87" s="12">
        <v>104</v>
      </c>
      <c r="E87" s="7">
        <v>0.61</v>
      </c>
      <c r="F87" s="7">
        <v>0.16</v>
      </c>
      <c r="G87" s="7">
        <v>0.15</v>
      </c>
      <c r="H87" s="7">
        <v>0.08</v>
      </c>
      <c r="I87" s="8">
        <v>0.41</v>
      </c>
      <c r="J87" s="8">
        <v>0.13</v>
      </c>
      <c r="K87" s="8">
        <v>0.36</v>
      </c>
      <c r="L87" s="8">
        <v>0.1</v>
      </c>
      <c r="M87" s="9">
        <v>0.28000000000000003</v>
      </c>
      <c r="N87" s="9">
        <v>0.18</v>
      </c>
      <c r="O87" s="9">
        <v>0.33</v>
      </c>
      <c r="P87" s="9">
        <v>0.21</v>
      </c>
      <c r="Q87" s="10">
        <f t="shared" si="8"/>
        <v>0.22999999999999998</v>
      </c>
      <c r="R87" s="10">
        <f t="shared" si="9"/>
        <v>0.45999999999999996</v>
      </c>
      <c r="S87" s="10">
        <f t="shared" si="10"/>
        <v>0.54</v>
      </c>
      <c r="T87" s="10">
        <f t="shared" si="11"/>
        <v>0.31000000000000005</v>
      </c>
    </row>
    <row r="88" spans="1:20" x14ac:dyDescent="0.2">
      <c r="A88" s="2">
        <v>2023</v>
      </c>
      <c r="B88" s="2">
        <v>3</v>
      </c>
      <c r="C88" s="3" t="s">
        <v>22</v>
      </c>
      <c r="D88" s="12">
        <v>119</v>
      </c>
      <c r="E88" s="7">
        <v>0.36</v>
      </c>
      <c r="F88" s="7">
        <v>0.24</v>
      </c>
      <c r="G88" s="7">
        <v>0.28000000000000003</v>
      </c>
      <c r="H88" s="7">
        <v>0.12</v>
      </c>
      <c r="I88" s="8">
        <v>0.2</v>
      </c>
      <c r="J88" s="8">
        <v>0.2</v>
      </c>
      <c r="K88" s="8">
        <v>0.49</v>
      </c>
      <c r="L88" s="8">
        <v>0.11</v>
      </c>
      <c r="M88" s="9">
        <v>0.15</v>
      </c>
      <c r="N88" s="9">
        <v>0.15</v>
      </c>
      <c r="O88" s="9">
        <v>0.46</v>
      </c>
      <c r="P88" s="9">
        <v>0.24</v>
      </c>
      <c r="Q88" s="10">
        <f t="shared" si="8"/>
        <v>0.4</v>
      </c>
      <c r="R88" s="10">
        <f t="shared" si="9"/>
        <v>0.6</v>
      </c>
      <c r="S88" s="10">
        <f t="shared" si="10"/>
        <v>0.7</v>
      </c>
      <c r="T88" s="10">
        <f t="shared" si="11"/>
        <v>0.29999999999999993</v>
      </c>
    </row>
    <row r="89" spans="1:20" x14ac:dyDescent="0.2">
      <c r="A89" s="2">
        <v>2024</v>
      </c>
      <c r="B89" s="2">
        <v>3</v>
      </c>
      <c r="C89" s="3" t="s">
        <v>22</v>
      </c>
      <c r="D89" s="12">
        <v>96</v>
      </c>
      <c r="E89" s="7">
        <v>0.24</v>
      </c>
      <c r="F89" s="7">
        <v>0.17</v>
      </c>
      <c r="G89" s="7">
        <v>0.31</v>
      </c>
      <c r="H89" s="7">
        <v>0.28000000000000003</v>
      </c>
      <c r="I89" s="8">
        <v>0.17</v>
      </c>
      <c r="J89" s="8">
        <v>0.13</v>
      </c>
      <c r="K89" s="8">
        <v>0.55000000000000004</v>
      </c>
      <c r="L89" s="8">
        <v>0.15</v>
      </c>
      <c r="M89" s="9">
        <v>0.12</v>
      </c>
      <c r="N89" s="9">
        <v>7.0000000000000007E-2</v>
      </c>
      <c r="O89" s="9">
        <v>0.56000000000000005</v>
      </c>
      <c r="P89" s="9">
        <v>0.25</v>
      </c>
      <c r="Q89" s="10">
        <f t="shared" si="8"/>
        <v>0.59000000000000008</v>
      </c>
      <c r="R89" s="10">
        <f t="shared" si="9"/>
        <v>0.70000000000000007</v>
      </c>
      <c r="S89" s="10">
        <f t="shared" si="10"/>
        <v>0.81</v>
      </c>
      <c r="T89" s="10">
        <f t="shared" si="11"/>
        <v>0.21999999999999997</v>
      </c>
    </row>
    <row r="90" spans="1:20" x14ac:dyDescent="0.2">
      <c r="A90" s="2">
        <v>2025</v>
      </c>
      <c r="B90" s="2">
        <v>3</v>
      </c>
      <c r="C90" s="3" t="s">
        <v>22</v>
      </c>
      <c r="D90" s="12">
        <v>120</v>
      </c>
      <c r="E90" s="7">
        <v>0.28000000000000003</v>
      </c>
      <c r="F90" s="7">
        <v>0.11</v>
      </c>
      <c r="G90" s="7">
        <v>0.27</v>
      </c>
      <c r="H90" s="7">
        <v>0.34</v>
      </c>
      <c r="I90" s="8">
        <v>0.14000000000000001</v>
      </c>
      <c r="J90" s="8">
        <v>0.17</v>
      </c>
      <c r="K90" s="8">
        <v>0.44</v>
      </c>
      <c r="L90" s="8">
        <v>0.25</v>
      </c>
      <c r="M90" s="9">
        <v>0.16</v>
      </c>
      <c r="N90" s="9">
        <v>0.13</v>
      </c>
      <c r="O90" s="9">
        <v>0.32</v>
      </c>
      <c r="P90" s="9">
        <v>0.39</v>
      </c>
      <c r="Q90" s="10">
        <f t="shared" si="8"/>
        <v>0.6100000000000001</v>
      </c>
      <c r="R90" s="10">
        <f t="shared" si="9"/>
        <v>0.69</v>
      </c>
      <c r="S90" s="10">
        <f t="shared" si="10"/>
        <v>0.71</v>
      </c>
      <c r="T90" s="10">
        <f t="shared" si="11"/>
        <v>9.9999999999999867E-2</v>
      </c>
    </row>
    <row r="91" spans="1:20" x14ac:dyDescent="0.2">
      <c r="A91" s="2">
        <v>2026</v>
      </c>
      <c r="B91" s="2">
        <v>3</v>
      </c>
      <c r="C91" s="3" t="s">
        <v>22</v>
      </c>
      <c r="D91" s="12">
        <v>100</v>
      </c>
      <c r="E91" s="7">
        <v>0.2</v>
      </c>
      <c r="F91" s="7">
        <v>0.19</v>
      </c>
      <c r="G91" s="7">
        <v>0.28000000000000003</v>
      </c>
      <c r="H91" s="7">
        <v>0.33</v>
      </c>
      <c r="I91" s="8">
        <v>0.13</v>
      </c>
      <c r="J91" s="8">
        <v>0.19</v>
      </c>
      <c r="K91" s="8">
        <v>0.37</v>
      </c>
      <c r="L91" s="8">
        <v>0.31</v>
      </c>
      <c r="M91" s="9">
        <v>0.16</v>
      </c>
      <c r="N91" s="9">
        <v>0.15</v>
      </c>
      <c r="O91" s="9">
        <v>0.28999999999999998</v>
      </c>
      <c r="P91" s="9">
        <v>0.4</v>
      </c>
      <c r="Q91" s="10">
        <f t="shared" si="8"/>
        <v>0.6100000000000001</v>
      </c>
      <c r="R91" s="10">
        <f t="shared" si="9"/>
        <v>0.67999999999999994</v>
      </c>
      <c r="S91" s="10">
        <f t="shared" si="10"/>
        <v>0.69</v>
      </c>
      <c r="T91" s="10">
        <f t="shared" si="11"/>
        <v>7.9999999999999849E-2</v>
      </c>
    </row>
    <row r="92" spans="1:20" x14ac:dyDescent="0.2">
      <c r="A92" s="2">
        <v>2022</v>
      </c>
      <c r="B92" s="2">
        <v>3</v>
      </c>
      <c r="C92" s="3" t="s">
        <v>21</v>
      </c>
      <c r="D92" s="12">
        <v>104</v>
      </c>
      <c r="E92" s="7">
        <v>0.53</v>
      </c>
      <c r="F92" s="7">
        <v>0.22</v>
      </c>
      <c r="G92" s="7">
        <v>0.2</v>
      </c>
      <c r="H92" s="7">
        <v>0.05</v>
      </c>
      <c r="I92" s="8">
        <v>0.46</v>
      </c>
      <c r="J92" s="8">
        <v>0.09</v>
      </c>
      <c r="K92" s="8">
        <v>0.3</v>
      </c>
      <c r="L92" s="8">
        <v>0.15</v>
      </c>
      <c r="M92" s="9">
        <v>0.31</v>
      </c>
      <c r="N92" s="9">
        <v>0.2</v>
      </c>
      <c r="O92" s="9">
        <v>0.26</v>
      </c>
      <c r="P92" s="9">
        <v>0.23</v>
      </c>
      <c r="Q92" s="10">
        <f t="shared" si="8"/>
        <v>0.25</v>
      </c>
      <c r="R92" s="10">
        <f t="shared" si="9"/>
        <v>0.44999999999999996</v>
      </c>
      <c r="S92" s="10">
        <f t="shared" si="10"/>
        <v>0.49</v>
      </c>
      <c r="T92" s="10">
        <f t="shared" si="11"/>
        <v>0.24</v>
      </c>
    </row>
    <row r="93" spans="1:20" x14ac:dyDescent="0.2">
      <c r="A93" s="2">
        <v>2023</v>
      </c>
      <c r="B93" s="2">
        <v>3</v>
      </c>
      <c r="C93" s="3" t="s">
        <v>21</v>
      </c>
      <c r="D93" s="12">
        <v>119</v>
      </c>
      <c r="E93" s="7">
        <v>0.24</v>
      </c>
      <c r="F93" s="7">
        <v>0.3</v>
      </c>
      <c r="G93" s="7">
        <v>0.36</v>
      </c>
      <c r="H93" s="7">
        <v>0.1</v>
      </c>
      <c r="I93" s="8">
        <v>0.24</v>
      </c>
      <c r="J93" s="8">
        <v>0.18</v>
      </c>
      <c r="K93" s="8">
        <v>0.45</v>
      </c>
      <c r="L93" s="8">
        <v>0.13</v>
      </c>
      <c r="M93" s="9">
        <v>0.19</v>
      </c>
      <c r="N93" s="9">
        <v>0.24</v>
      </c>
      <c r="O93" s="9">
        <v>0.31</v>
      </c>
      <c r="P93" s="9">
        <v>0.26</v>
      </c>
      <c r="Q93" s="10">
        <f t="shared" si="8"/>
        <v>0.45999999999999996</v>
      </c>
      <c r="R93" s="10">
        <f t="shared" si="9"/>
        <v>0.58000000000000007</v>
      </c>
      <c r="S93" s="10">
        <f t="shared" si="10"/>
        <v>0.57000000000000006</v>
      </c>
      <c r="T93" s="10">
        <f t="shared" si="11"/>
        <v>0.1100000000000001</v>
      </c>
    </row>
    <row r="94" spans="1:20" x14ac:dyDescent="0.2">
      <c r="A94" s="2">
        <v>2024</v>
      </c>
      <c r="B94" s="2">
        <v>3</v>
      </c>
      <c r="C94" s="3" t="s">
        <v>21</v>
      </c>
      <c r="D94" s="12">
        <v>96</v>
      </c>
      <c r="E94" s="7">
        <v>0.16</v>
      </c>
      <c r="F94" s="7">
        <v>0.22</v>
      </c>
      <c r="G94" s="7">
        <v>0.4</v>
      </c>
      <c r="H94" s="7">
        <v>0.22</v>
      </c>
      <c r="I94" s="8">
        <v>0.21</v>
      </c>
      <c r="J94" s="8">
        <v>0.08</v>
      </c>
      <c r="K94" s="8">
        <v>0.51</v>
      </c>
      <c r="L94" s="8">
        <v>0.2</v>
      </c>
      <c r="M94" s="9">
        <v>0.14000000000000001</v>
      </c>
      <c r="N94" s="9">
        <v>0.16</v>
      </c>
      <c r="O94" s="9">
        <v>0.4</v>
      </c>
      <c r="P94" s="9">
        <v>0.3</v>
      </c>
      <c r="Q94" s="10">
        <f t="shared" si="8"/>
        <v>0.62</v>
      </c>
      <c r="R94" s="10">
        <f t="shared" si="9"/>
        <v>0.71</v>
      </c>
      <c r="S94" s="10">
        <f t="shared" si="10"/>
        <v>0.7</v>
      </c>
      <c r="T94" s="10">
        <f t="shared" si="11"/>
        <v>7.999999999999996E-2</v>
      </c>
    </row>
    <row r="95" spans="1:20" x14ac:dyDescent="0.2">
      <c r="A95" s="2">
        <v>2025</v>
      </c>
      <c r="B95" s="2">
        <v>3</v>
      </c>
      <c r="C95" s="3" t="s">
        <v>21</v>
      </c>
      <c r="D95" s="12">
        <v>120</v>
      </c>
      <c r="E95" s="7">
        <v>0.18</v>
      </c>
      <c r="F95" s="7">
        <v>0.15</v>
      </c>
      <c r="G95" s="7">
        <v>0.4</v>
      </c>
      <c r="H95" s="7">
        <v>0.27</v>
      </c>
      <c r="I95" s="8">
        <v>0.19</v>
      </c>
      <c r="J95" s="8">
        <v>0.1</v>
      </c>
      <c r="K95" s="8">
        <v>0.39</v>
      </c>
      <c r="L95" s="8">
        <v>0.32</v>
      </c>
      <c r="M95" s="9">
        <v>0.13</v>
      </c>
      <c r="N95" s="9">
        <v>0.23</v>
      </c>
      <c r="O95" s="9">
        <v>0.23</v>
      </c>
      <c r="P95" s="9">
        <v>0.41</v>
      </c>
      <c r="Q95" s="10">
        <f t="shared" si="8"/>
        <v>0.67</v>
      </c>
      <c r="R95" s="10">
        <f t="shared" si="9"/>
        <v>0.71</v>
      </c>
      <c r="S95" s="10">
        <f t="shared" si="10"/>
        <v>0.64</v>
      </c>
      <c r="T95" s="10">
        <f t="shared" si="11"/>
        <v>-3.0000000000000027E-2</v>
      </c>
    </row>
    <row r="96" spans="1:20" x14ac:dyDescent="0.2">
      <c r="A96" s="2">
        <v>2026</v>
      </c>
      <c r="B96" s="2">
        <v>3</v>
      </c>
      <c r="C96" s="3" t="s">
        <v>21</v>
      </c>
      <c r="D96" s="12">
        <v>100</v>
      </c>
      <c r="E96" s="7">
        <v>0.17</v>
      </c>
      <c r="F96" s="7">
        <v>0.2</v>
      </c>
      <c r="G96" s="7">
        <v>0.37</v>
      </c>
      <c r="H96" s="7">
        <v>0.26</v>
      </c>
      <c r="I96" s="8">
        <v>0.15</v>
      </c>
      <c r="J96" s="8">
        <v>0.15</v>
      </c>
      <c r="K96" s="8">
        <v>0.32</v>
      </c>
      <c r="L96" s="8">
        <v>0.38</v>
      </c>
      <c r="M96" s="9">
        <v>0.18</v>
      </c>
      <c r="N96" s="9">
        <v>0.18</v>
      </c>
      <c r="O96" s="9">
        <v>0.17</v>
      </c>
      <c r="P96" s="9">
        <v>0.47</v>
      </c>
      <c r="Q96" s="10">
        <f t="shared" si="8"/>
        <v>0.63</v>
      </c>
      <c r="R96" s="10">
        <f t="shared" si="9"/>
        <v>0.7</v>
      </c>
      <c r="S96" s="10">
        <f t="shared" si="10"/>
        <v>0.64</v>
      </c>
      <c r="T96" s="10">
        <f t="shared" si="11"/>
        <v>1.0000000000000009E-2</v>
      </c>
    </row>
    <row r="97" spans="1:20" x14ac:dyDescent="0.2">
      <c r="A97" s="2">
        <v>2022</v>
      </c>
      <c r="B97" s="2">
        <v>3</v>
      </c>
      <c r="C97" s="3" t="s">
        <v>23</v>
      </c>
      <c r="D97" s="12">
        <v>104</v>
      </c>
      <c r="E97" s="7">
        <v>0.37</v>
      </c>
      <c r="F97" s="7">
        <v>0.26</v>
      </c>
      <c r="G97" s="7">
        <v>0.37</v>
      </c>
      <c r="H97" s="7"/>
      <c r="I97" s="8">
        <v>0.1</v>
      </c>
      <c r="J97" s="8">
        <v>0.16</v>
      </c>
      <c r="K97" s="8">
        <v>0.74</v>
      </c>
      <c r="L97" s="8"/>
      <c r="M97" s="9">
        <v>0.05</v>
      </c>
      <c r="N97" s="9">
        <v>0.05</v>
      </c>
      <c r="O97" s="9">
        <v>0.9</v>
      </c>
      <c r="P97" s="9"/>
      <c r="Q97" s="10">
        <f t="shared" si="8"/>
        <v>0.37</v>
      </c>
      <c r="R97" s="10">
        <f t="shared" si="9"/>
        <v>0.74</v>
      </c>
      <c r="S97" s="10">
        <f t="shared" si="10"/>
        <v>0.9</v>
      </c>
      <c r="T97" s="10">
        <f t="shared" si="11"/>
        <v>0.53</v>
      </c>
    </row>
    <row r="98" spans="1:20" x14ac:dyDescent="0.2">
      <c r="A98" s="2">
        <v>2023</v>
      </c>
      <c r="B98" s="2">
        <v>3</v>
      </c>
      <c r="C98" s="3" t="s">
        <v>23</v>
      </c>
      <c r="D98" s="12">
        <v>119</v>
      </c>
      <c r="E98" s="7">
        <v>0.31</v>
      </c>
      <c r="F98" s="7">
        <v>0.21</v>
      </c>
      <c r="G98" s="7">
        <v>0.48</v>
      </c>
      <c r="H98" s="4"/>
      <c r="I98" s="8">
        <v>0.09</v>
      </c>
      <c r="J98" s="8">
        <v>0.16</v>
      </c>
      <c r="K98" s="8">
        <v>0.75</v>
      </c>
      <c r="L98" s="5"/>
      <c r="M98" s="9">
        <v>0.06</v>
      </c>
      <c r="N98" s="6"/>
      <c r="O98" s="9">
        <v>0.93</v>
      </c>
      <c r="P98" s="6"/>
      <c r="Q98" s="10">
        <f t="shared" ref="Q98:Q129" si="12">SUM(G98:H98)</f>
        <v>0.48</v>
      </c>
      <c r="R98" s="10">
        <f t="shared" ref="R98:R129" si="13">SUM(K98:L98)</f>
        <v>0.75</v>
      </c>
      <c r="S98" s="10">
        <f t="shared" ref="S98:S129" si="14">SUM(O98:P98)</f>
        <v>0.93</v>
      </c>
      <c r="T98" s="10">
        <f t="shared" ref="T98:T129" si="15">S98-Q98</f>
        <v>0.45000000000000007</v>
      </c>
    </row>
    <row r="99" spans="1:20" x14ac:dyDescent="0.2">
      <c r="A99" s="2">
        <v>2024</v>
      </c>
      <c r="B99" s="2">
        <v>3</v>
      </c>
      <c r="C99" s="3" t="s">
        <v>23</v>
      </c>
      <c r="D99" s="12">
        <v>96</v>
      </c>
      <c r="E99" s="7">
        <v>0.27</v>
      </c>
      <c r="F99" s="7">
        <v>0.26</v>
      </c>
      <c r="G99" s="7">
        <v>0.47</v>
      </c>
      <c r="H99" s="4"/>
      <c r="I99" s="8">
        <v>0.08</v>
      </c>
      <c r="J99" s="8">
        <v>0.05</v>
      </c>
      <c r="K99" s="8">
        <v>0.87</v>
      </c>
      <c r="L99" s="5"/>
      <c r="M99" s="9">
        <v>0.03</v>
      </c>
      <c r="N99" s="9">
        <v>0.04</v>
      </c>
      <c r="O99" s="9">
        <v>0.93</v>
      </c>
      <c r="P99" s="6"/>
      <c r="Q99" s="10">
        <f t="shared" si="12"/>
        <v>0.47</v>
      </c>
      <c r="R99" s="10">
        <f t="shared" si="13"/>
        <v>0.87</v>
      </c>
      <c r="S99" s="10">
        <f t="shared" si="14"/>
        <v>0.93</v>
      </c>
      <c r="T99" s="10">
        <f t="shared" si="15"/>
        <v>0.46000000000000008</v>
      </c>
    </row>
    <row r="100" spans="1:20" x14ac:dyDescent="0.2">
      <c r="A100" s="2">
        <v>2025</v>
      </c>
      <c r="B100" s="2">
        <v>3</v>
      </c>
      <c r="C100" s="3" t="s">
        <v>23</v>
      </c>
      <c r="D100" s="12">
        <v>120</v>
      </c>
      <c r="E100" s="20">
        <v>0.28999999999999998</v>
      </c>
      <c r="F100" s="20">
        <v>0.17</v>
      </c>
      <c r="G100" s="20">
        <v>0.54</v>
      </c>
      <c r="H100" s="24"/>
      <c r="I100" s="21">
        <v>0.09</v>
      </c>
      <c r="J100" s="21">
        <v>0.14000000000000001</v>
      </c>
      <c r="K100" s="21">
        <v>0.77</v>
      </c>
      <c r="L100" s="25"/>
      <c r="M100" s="26"/>
      <c r="N100" s="26"/>
      <c r="O100" s="22">
        <v>0.93</v>
      </c>
      <c r="P100" s="26"/>
      <c r="Q100" s="10">
        <f t="shared" si="12"/>
        <v>0.54</v>
      </c>
      <c r="R100" s="10">
        <f t="shared" si="13"/>
        <v>0.77</v>
      </c>
      <c r="S100" s="10">
        <f t="shared" si="14"/>
        <v>0.93</v>
      </c>
      <c r="T100" s="10">
        <f t="shared" si="15"/>
        <v>0.39</v>
      </c>
    </row>
    <row r="101" spans="1:20" x14ac:dyDescent="0.2">
      <c r="A101" s="2">
        <v>2026</v>
      </c>
      <c r="B101" s="2">
        <v>3</v>
      </c>
      <c r="C101" s="3" t="s">
        <v>23</v>
      </c>
      <c r="D101" s="12">
        <v>100</v>
      </c>
      <c r="E101" s="7">
        <v>0.28999999999999998</v>
      </c>
      <c r="F101" s="7">
        <v>0.19</v>
      </c>
      <c r="G101" s="7">
        <v>0.52</v>
      </c>
      <c r="H101" s="4"/>
      <c r="I101" s="8">
        <v>0.08</v>
      </c>
      <c r="J101" s="8">
        <v>0.09</v>
      </c>
      <c r="K101" s="8">
        <v>0.83</v>
      </c>
      <c r="L101" s="5"/>
      <c r="M101" s="6"/>
      <c r="N101" s="6"/>
      <c r="O101" s="9">
        <v>0.96</v>
      </c>
      <c r="P101" s="6"/>
      <c r="Q101" s="10">
        <f t="shared" si="12"/>
        <v>0.52</v>
      </c>
      <c r="R101" s="10">
        <f t="shared" si="13"/>
        <v>0.83</v>
      </c>
      <c r="S101" s="10">
        <f t="shared" si="14"/>
        <v>0.96</v>
      </c>
      <c r="T101" s="10">
        <f t="shared" si="15"/>
        <v>0.43999999999999995</v>
      </c>
    </row>
    <row r="102" spans="1:20" x14ac:dyDescent="0.2">
      <c r="A102" s="2">
        <v>2022</v>
      </c>
      <c r="B102" s="2">
        <v>3</v>
      </c>
      <c r="C102" s="3" t="s">
        <v>24</v>
      </c>
      <c r="D102" s="12">
        <v>104</v>
      </c>
      <c r="E102" s="7">
        <v>0.5</v>
      </c>
      <c r="F102" s="7">
        <v>0.2</v>
      </c>
      <c r="G102" s="7">
        <v>0.23</v>
      </c>
      <c r="H102" s="7">
        <v>7.0000000000000007E-2</v>
      </c>
      <c r="I102" s="8">
        <v>0.35</v>
      </c>
      <c r="J102" s="8">
        <v>0.25</v>
      </c>
      <c r="K102" s="8">
        <v>0.3</v>
      </c>
      <c r="L102" s="8">
        <v>0.1</v>
      </c>
      <c r="M102" s="9">
        <v>0.31</v>
      </c>
      <c r="N102" s="9">
        <v>0.21</v>
      </c>
      <c r="O102" s="9">
        <v>0.21</v>
      </c>
      <c r="P102" s="9">
        <v>0.27</v>
      </c>
      <c r="Q102" s="10">
        <f t="shared" si="12"/>
        <v>0.30000000000000004</v>
      </c>
      <c r="R102" s="10">
        <f t="shared" si="13"/>
        <v>0.4</v>
      </c>
      <c r="S102" s="10">
        <f t="shared" si="14"/>
        <v>0.48</v>
      </c>
      <c r="T102" s="10">
        <f t="shared" si="15"/>
        <v>0.17999999999999994</v>
      </c>
    </row>
    <row r="103" spans="1:20" x14ac:dyDescent="0.2">
      <c r="A103" s="2">
        <v>2023</v>
      </c>
      <c r="B103" s="2">
        <v>3</v>
      </c>
      <c r="C103" s="3" t="s">
        <v>24</v>
      </c>
      <c r="D103" s="12">
        <v>119</v>
      </c>
      <c r="E103" s="7">
        <v>0.37</v>
      </c>
      <c r="F103" s="7">
        <v>0.18</v>
      </c>
      <c r="G103" s="7">
        <v>0.28999999999999998</v>
      </c>
      <c r="H103" s="7">
        <v>0.16</v>
      </c>
      <c r="I103" s="8">
        <v>0.34</v>
      </c>
      <c r="J103" s="8">
        <v>0.19</v>
      </c>
      <c r="K103" s="8">
        <v>0.32</v>
      </c>
      <c r="L103" s="8">
        <v>0.15</v>
      </c>
      <c r="M103" s="9">
        <v>0.24</v>
      </c>
      <c r="N103" s="9">
        <v>0.19</v>
      </c>
      <c r="O103" s="9">
        <v>0.18</v>
      </c>
      <c r="P103" s="9">
        <v>0.39</v>
      </c>
      <c r="Q103" s="10">
        <f t="shared" si="12"/>
        <v>0.44999999999999996</v>
      </c>
      <c r="R103" s="10">
        <f t="shared" si="13"/>
        <v>0.47</v>
      </c>
      <c r="S103" s="10">
        <f t="shared" si="14"/>
        <v>0.57000000000000006</v>
      </c>
      <c r="T103" s="10">
        <f t="shared" si="15"/>
        <v>0.12000000000000011</v>
      </c>
    </row>
    <row r="104" spans="1:20" x14ac:dyDescent="0.2">
      <c r="A104" s="2">
        <v>2024</v>
      </c>
      <c r="B104" s="2">
        <v>3</v>
      </c>
      <c r="C104" s="3" t="s">
        <v>24</v>
      </c>
      <c r="D104" s="12">
        <v>96</v>
      </c>
      <c r="E104" s="7">
        <v>0.31</v>
      </c>
      <c r="F104" s="7">
        <v>0.16</v>
      </c>
      <c r="G104" s="7">
        <v>0.35</v>
      </c>
      <c r="H104" s="7">
        <v>0.18</v>
      </c>
      <c r="I104" s="8">
        <v>0.25</v>
      </c>
      <c r="J104" s="8">
        <v>0.23</v>
      </c>
      <c r="K104" s="8">
        <v>0.35</v>
      </c>
      <c r="L104" s="8">
        <v>0.17</v>
      </c>
      <c r="M104" s="9">
        <v>0.16</v>
      </c>
      <c r="N104" s="9">
        <v>0.23</v>
      </c>
      <c r="O104" s="9">
        <v>0.26</v>
      </c>
      <c r="P104" s="9">
        <v>0.35</v>
      </c>
      <c r="Q104" s="10">
        <f t="shared" si="12"/>
        <v>0.53</v>
      </c>
      <c r="R104" s="10">
        <f t="shared" si="13"/>
        <v>0.52</v>
      </c>
      <c r="S104" s="10">
        <f t="shared" si="14"/>
        <v>0.61</v>
      </c>
      <c r="T104" s="10">
        <f t="shared" si="15"/>
        <v>7.999999999999996E-2</v>
      </c>
    </row>
    <row r="105" spans="1:20" x14ac:dyDescent="0.2">
      <c r="A105" s="2">
        <v>2025</v>
      </c>
      <c r="B105" s="2">
        <v>3</v>
      </c>
      <c r="C105" s="3" t="s">
        <v>24</v>
      </c>
      <c r="D105" s="12">
        <v>120</v>
      </c>
      <c r="E105" s="7">
        <v>0.28999999999999998</v>
      </c>
      <c r="F105" s="7">
        <v>0.17</v>
      </c>
      <c r="G105" s="7">
        <v>0.28999999999999998</v>
      </c>
      <c r="H105" s="7">
        <v>0.25</v>
      </c>
      <c r="I105" s="8">
        <v>0.23</v>
      </c>
      <c r="J105" s="8">
        <v>0.17</v>
      </c>
      <c r="K105" s="8">
        <v>0.36</v>
      </c>
      <c r="L105" s="8">
        <v>0.24</v>
      </c>
      <c r="M105" s="9">
        <v>0.2</v>
      </c>
      <c r="N105" s="9">
        <v>0.11</v>
      </c>
      <c r="O105" s="9">
        <v>0.28000000000000003</v>
      </c>
      <c r="P105" s="9">
        <v>0.41</v>
      </c>
      <c r="Q105" s="10">
        <f t="shared" si="12"/>
        <v>0.54</v>
      </c>
      <c r="R105" s="10">
        <f t="shared" si="13"/>
        <v>0.6</v>
      </c>
      <c r="S105" s="10">
        <f t="shared" si="14"/>
        <v>0.69</v>
      </c>
      <c r="T105" s="10">
        <f t="shared" si="15"/>
        <v>0.14999999999999991</v>
      </c>
    </row>
    <row r="106" spans="1:20" x14ac:dyDescent="0.2">
      <c r="A106" s="2">
        <v>2026</v>
      </c>
      <c r="B106" s="2">
        <v>3</v>
      </c>
      <c r="C106" s="3" t="s">
        <v>24</v>
      </c>
      <c r="D106" s="12">
        <v>100</v>
      </c>
      <c r="E106" s="7">
        <v>0.27</v>
      </c>
      <c r="F106" s="7">
        <v>0.09</v>
      </c>
      <c r="G106" s="7">
        <v>0.36</v>
      </c>
      <c r="H106" s="7">
        <v>0.28000000000000003</v>
      </c>
      <c r="I106" s="8">
        <v>0.17</v>
      </c>
      <c r="J106" s="8">
        <v>0.2</v>
      </c>
      <c r="K106" s="8">
        <v>0.32</v>
      </c>
      <c r="L106" s="8">
        <v>0.31</v>
      </c>
      <c r="M106" s="9">
        <v>0.14000000000000001</v>
      </c>
      <c r="N106" s="9">
        <v>0.16</v>
      </c>
      <c r="O106" s="9">
        <v>0.2</v>
      </c>
      <c r="P106" s="9">
        <v>0.5</v>
      </c>
      <c r="Q106" s="10">
        <f t="shared" si="12"/>
        <v>0.64</v>
      </c>
      <c r="R106" s="10">
        <f t="shared" si="13"/>
        <v>0.63</v>
      </c>
      <c r="S106" s="10">
        <f t="shared" si="14"/>
        <v>0.7</v>
      </c>
      <c r="T106" s="10">
        <f t="shared" si="15"/>
        <v>5.9999999999999942E-2</v>
      </c>
    </row>
    <row r="107" spans="1:20" x14ac:dyDescent="0.2">
      <c r="A107" s="2">
        <v>2022</v>
      </c>
      <c r="B107" s="2">
        <v>3</v>
      </c>
      <c r="C107" s="3" t="s">
        <v>19</v>
      </c>
      <c r="D107" s="12">
        <v>104</v>
      </c>
      <c r="E107" s="7">
        <v>0.43</v>
      </c>
      <c r="F107" s="7">
        <v>0.26</v>
      </c>
      <c r="G107" s="7">
        <v>0.26</v>
      </c>
      <c r="H107" s="7">
        <v>0.05</v>
      </c>
      <c r="I107" s="8">
        <v>0.37</v>
      </c>
      <c r="J107" s="8">
        <v>0.17</v>
      </c>
      <c r="K107" s="8">
        <v>0.35</v>
      </c>
      <c r="L107" s="8">
        <v>0.11</v>
      </c>
      <c r="M107" s="9">
        <v>0.44</v>
      </c>
      <c r="N107" s="9">
        <v>0.1</v>
      </c>
      <c r="O107" s="9">
        <v>0.33</v>
      </c>
      <c r="P107" s="9">
        <v>0.13</v>
      </c>
      <c r="Q107" s="10">
        <f t="shared" si="12"/>
        <v>0.31</v>
      </c>
      <c r="R107" s="10">
        <f t="shared" si="13"/>
        <v>0.45999999999999996</v>
      </c>
      <c r="S107" s="10">
        <f t="shared" si="14"/>
        <v>0.46</v>
      </c>
      <c r="T107" s="10">
        <f t="shared" si="15"/>
        <v>0.15000000000000002</v>
      </c>
    </row>
    <row r="108" spans="1:20" x14ac:dyDescent="0.2">
      <c r="A108" s="2">
        <v>2023</v>
      </c>
      <c r="B108" s="2">
        <v>3</v>
      </c>
      <c r="C108" s="3" t="s">
        <v>19</v>
      </c>
      <c r="D108" s="12">
        <v>119</v>
      </c>
      <c r="E108" s="7">
        <v>0.3</v>
      </c>
      <c r="F108" s="7">
        <v>0.25</v>
      </c>
      <c r="G108" s="7">
        <v>0.27</v>
      </c>
      <c r="H108" s="7">
        <v>0.18</v>
      </c>
      <c r="I108" s="8">
        <v>0.32</v>
      </c>
      <c r="J108" s="8">
        <v>0.22</v>
      </c>
      <c r="K108" s="8">
        <v>0.26</v>
      </c>
      <c r="L108" s="8">
        <v>0.2</v>
      </c>
      <c r="M108" s="9">
        <v>0.33</v>
      </c>
      <c r="N108" s="9">
        <v>0.12</v>
      </c>
      <c r="O108" s="9">
        <v>0.27</v>
      </c>
      <c r="P108" s="9">
        <v>0.28000000000000003</v>
      </c>
      <c r="Q108" s="10">
        <f t="shared" si="12"/>
        <v>0.45</v>
      </c>
      <c r="R108" s="10">
        <f t="shared" si="13"/>
        <v>0.46</v>
      </c>
      <c r="S108" s="10">
        <f t="shared" si="14"/>
        <v>0.55000000000000004</v>
      </c>
      <c r="T108" s="10">
        <f t="shared" si="15"/>
        <v>0.10000000000000003</v>
      </c>
    </row>
    <row r="109" spans="1:20" x14ac:dyDescent="0.2">
      <c r="A109" s="2">
        <v>2024</v>
      </c>
      <c r="B109" s="2">
        <v>3</v>
      </c>
      <c r="C109" s="3" t="s">
        <v>19</v>
      </c>
      <c r="D109" s="12">
        <v>96</v>
      </c>
      <c r="E109" s="7">
        <v>0.3</v>
      </c>
      <c r="F109" s="7">
        <v>0.13</v>
      </c>
      <c r="G109" s="7">
        <v>0.37</v>
      </c>
      <c r="H109" s="7">
        <v>0.2</v>
      </c>
      <c r="I109" s="8">
        <v>0.24</v>
      </c>
      <c r="J109" s="8">
        <v>0.16</v>
      </c>
      <c r="K109" s="8">
        <v>0.36</v>
      </c>
      <c r="L109" s="8">
        <v>0.24</v>
      </c>
      <c r="M109" s="9">
        <v>0.27</v>
      </c>
      <c r="N109" s="9">
        <v>0.08</v>
      </c>
      <c r="O109" s="9">
        <v>0.35</v>
      </c>
      <c r="P109" s="9">
        <v>0.3</v>
      </c>
      <c r="Q109" s="10">
        <f t="shared" si="12"/>
        <v>0.57000000000000006</v>
      </c>
      <c r="R109" s="10">
        <f t="shared" si="13"/>
        <v>0.6</v>
      </c>
      <c r="S109" s="10">
        <f t="shared" si="14"/>
        <v>0.64999999999999991</v>
      </c>
      <c r="T109" s="10">
        <f t="shared" si="15"/>
        <v>7.9999999999999849E-2</v>
      </c>
    </row>
    <row r="110" spans="1:20" x14ac:dyDescent="0.2">
      <c r="A110" s="2">
        <v>2025</v>
      </c>
      <c r="B110" s="2">
        <v>3</v>
      </c>
      <c r="C110" s="3" t="s">
        <v>19</v>
      </c>
      <c r="D110" s="12">
        <v>120</v>
      </c>
      <c r="E110" s="7">
        <v>0.24</v>
      </c>
      <c r="F110" s="7">
        <v>0.14000000000000001</v>
      </c>
      <c r="G110" s="7">
        <v>0.34</v>
      </c>
      <c r="H110" s="7">
        <v>0.28000000000000003</v>
      </c>
      <c r="I110" s="8">
        <v>0.17</v>
      </c>
      <c r="J110" s="8">
        <v>0.23</v>
      </c>
      <c r="K110" s="8">
        <v>0.28999999999999998</v>
      </c>
      <c r="L110" s="8">
        <v>0.31</v>
      </c>
      <c r="M110" s="9">
        <v>0.28000000000000003</v>
      </c>
      <c r="N110" s="9">
        <v>0.11</v>
      </c>
      <c r="O110" s="9">
        <v>0.34</v>
      </c>
      <c r="P110" s="9">
        <v>0.27</v>
      </c>
      <c r="Q110" s="10">
        <f t="shared" si="12"/>
        <v>0.62000000000000011</v>
      </c>
      <c r="R110" s="10">
        <f t="shared" si="13"/>
        <v>0.6</v>
      </c>
      <c r="S110" s="10">
        <f t="shared" si="14"/>
        <v>0.6100000000000001</v>
      </c>
      <c r="T110" s="10">
        <f t="shared" si="15"/>
        <v>-1.0000000000000009E-2</v>
      </c>
    </row>
    <row r="111" spans="1:20" x14ac:dyDescent="0.2">
      <c r="A111" s="2">
        <v>2026</v>
      </c>
      <c r="B111" s="2">
        <v>3</v>
      </c>
      <c r="C111" s="3" t="s">
        <v>19</v>
      </c>
      <c r="D111" s="12">
        <v>100</v>
      </c>
      <c r="E111" s="7">
        <v>0.21</v>
      </c>
      <c r="F111" s="7">
        <v>0.11</v>
      </c>
      <c r="G111" s="7">
        <v>0.34</v>
      </c>
      <c r="H111" s="7">
        <v>0.34</v>
      </c>
      <c r="I111" s="8">
        <v>0.18</v>
      </c>
      <c r="J111" s="8">
        <v>0.08</v>
      </c>
      <c r="K111" s="8">
        <v>0.39</v>
      </c>
      <c r="L111" s="8">
        <v>0.35</v>
      </c>
      <c r="M111" s="9">
        <v>0.23</v>
      </c>
      <c r="N111" s="9">
        <v>0.08</v>
      </c>
      <c r="O111" s="9">
        <v>0.25</v>
      </c>
      <c r="P111" s="9">
        <v>0.44</v>
      </c>
      <c r="Q111" s="10">
        <f t="shared" si="12"/>
        <v>0.68</v>
      </c>
      <c r="R111" s="10">
        <f t="shared" si="13"/>
        <v>0.74</v>
      </c>
      <c r="S111" s="10">
        <f t="shared" si="14"/>
        <v>0.69</v>
      </c>
      <c r="T111" s="10">
        <f t="shared" si="15"/>
        <v>9.9999999999998979E-3</v>
      </c>
    </row>
    <row r="112" spans="1:20" x14ac:dyDescent="0.2">
      <c r="A112" s="2">
        <v>2026</v>
      </c>
      <c r="B112" s="2">
        <v>4</v>
      </c>
      <c r="C112" s="3" t="s">
        <v>25</v>
      </c>
      <c r="D112" s="12">
        <v>114</v>
      </c>
      <c r="E112" s="7">
        <v>0.28000000000000003</v>
      </c>
      <c r="F112" s="7">
        <v>0.17</v>
      </c>
      <c r="G112" s="7">
        <v>0.28000000000000003</v>
      </c>
      <c r="H112" s="7">
        <v>0.27</v>
      </c>
      <c r="I112" s="8">
        <v>0.18</v>
      </c>
      <c r="J112" s="8">
        <v>0.16</v>
      </c>
      <c r="K112" s="8">
        <v>0.32</v>
      </c>
      <c r="L112" s="8">
        <v>0.34</v>
      </c>
      <c r="M112" s="9">
        <v>0.32</v>
      </c>
      <c r="N112" s="9">
        <v>0.16</v>
      </c>
      <c r="O112" s="9">
        <v>0.39</v>
      </c>
      <c r="P112" s="9">
        <v>0.13</v>
      </c>
      <c r="Q112" s="10">
        <f t="shared" si="12"/>
        <v>0.55000000000000004</v>
      </c>
      <c r="R112" s="10">
        <f t="shared" si="13"/>
        <v>0.66</v>
      </c>
      <c r="S112" s="10">
        <f t="shared" si="14"/>
        <v>0.52</v>
      </c>
      <c r="T112" s="10">
        <f t="shared" si="15"/>
        <v>-3.0000000000000027E-2</v>
      </c>
    </row>
    <row r="113" spans="1:20" x14ac:dyDescent="0.2">
      <c r="A113" s="2">
        <v>2026</v>
      </c>
      <c r="B113" s="2">
        <v>4</v>
      </c>
      <c r="C113" s="3" t="s">
        <v>17</v>
      </c>
      <c r="D113" s="12">
        <v>114</v>
      </c>
      <c r="E113" s="7">
        <v>0.13</v>
      </c>
      <c r="F113" s="7">
        <v>0.34</v>
      </c>
      <c r="G113" s="7">
        <v>0.39</v>
      </c>
      <c r="H113" s="7">
        <v>0.14000000000000001</v>
      </c>
      <c r="I113" s="8">
        <v>0.2</v>
      </c>
      <c r="J113" s="8">
        <v>0.19</v>
      </c>
      <c r="K113" s="8">
        <v>0.31</v>
      </c>
      <c r="L113" s="8">
        <v>0.3</v>
      </c>
      <c r="M113" s="9">
        <v>0.22</v>
      </c>
      <c r="N113" s="9">
        <v>0.28000000000000003</v>
      </c>
      <c r="O113" s="9">
        <v>0.27</v>
      </c>
      <c r="P113" s="9">
        <v>0.23</v>
      </c>
      <c r="Q113" s="10">
        <f t="shared" si="12"/>
        <v>0.53</v>
      </c>
      <c r="R113" s="10">
        <f t="shared" si="13"/>
        <v>0.61</v>
      </c>
      <c r="S113" s="10">
        <f t="shared" si="14"/>
        <v>0.5</v>
      </c>
      <c r="T113" s="10">
        <f t="shared" si="15"/>
        <v>-3.0000000000000027E-2</v>
      </c>
    </row>
    <row r="114" spans="1:20" x14ac:dyDescent="0.2">
      <c r="A114" s="2">
        <v>2026</v>
      </c>
      <c r="B114" s="2">
        <v>4</v>
      </c>
      <c r="C114" s="3" t="s">
        <v>22</v>
      </c>
      <c r="D114" s="12">
        <v>114</v>
      </c>
      <c r="E114" s="7">
        <v>0.4</v>
      </c>
      <c r="F114" s="7">
        <v>0.4</v>
      </c>
      <c r="G114" s="7">
        <v>0.2</v>
      </c>
      <c r="H114" s="4"/>
      <c r="I114" s="8">
        <v>0.75</v>
      </c>
      <c r="J114" s="5"/>
      <c r="K114" s="8">
        <v>0.25</v>
      </c>
      <c r="L114" s="5"/>
      <c r="M114" s="9">
        <v>0.75</v>
      </c>
      <c r="N114" s="6"/>
      <c r="O114" s="9">
        <v>0.25</v>
      </c>
      <c r="P114" s="6"/>
      <c r="Q114" s="10">
        <f t="shared" si="12"/>
        <v>0.2</v>
      </c>
      <c r="R114" s="10">
        <f t="shared" si="13"/>
        <v>0.25</v>
      </c>
      <c r="S114" s="10">
        <f t="shared" si="14"/>
        <v>0.25</v>
      </c>
      <c r="T114" s="10">
        <f t="shared" si="15"/>
        <v>4.9999999999999989E-2</v>
      </c>
    </row>
    <row r="115" spans="1:20" x14ac:dyDescent="0.2">
      <c r="A115" s="2">
        <v>2026</v>
      </c>
      <c r="B115" s="2">
        <v>4</v>
      </c>
      <c r="C115" s="3" t="s">
        <v>21</v>
      </c>
      <c r="D115" s="12">
        <v>114</v>
      </c>
      <c r="E115" s="7">
        <v>0.4</v>
      </c>
      <c r="F115" s="7">
        <v>0.4</v>
      </c>
      <c r="G115" s="7">
        <v>0.2</v>
      </c>
      <c r="H115" s="4"/>
      <c r="I115" s="8">
        <v>0.75</v>
      </c>
      <c r="J115" s="5"/>
      <c r="K115" s="8">
        <v>0.25</v>
      </c>
      <c r="L115" s="5"/>
      <c r="M115" s="9">
        <v>0.75</v>
      </c>
      <c r="N115" s="6"/>
      <c r="O115" s="9">
        <v>0.25</v>
      </c>
      <c r="P115" s="6"/>
      <c r="Q115" s="10">
        <f t="shared" si="12"/>
        <v>0.2</v>
      </c>
      <c r="R115" s="10">
        <f t="shared" si="13"/>
        <v>0.25</v>
      </c>
      <c r="S115" s="10">
        <f t="shared" si="14"/>
        <v>0.25</v>
      </c>
      <c r="T115" s="10">
        <f t="shared" si="15"/>
        <v>4.9999999999999989E-2</v>
      </c>
    </row>
    <row r="116" spans="1:20" x14ac:dyDescent="0.2">
      <c r="A116" s="2">
        <v>2026</v>
      </c>
      <c r="B116" s="2">
        <v>4</v>
      </c>
      <c r="C116" s="3" t="s">
        <v>23</v>
      </c>
      <c r="D116" s="12">
        <v>114</v>
      </c>
      <c r="E116" s="7">
        <v>0.15</v>
      </c>
      <c r="F116" s="7">
        <v>0.28999999999999998</v>
      </c>
      <c r="G116" s="7">
        <v>0.56000000000000005</v>
      </c>
      <c r="H116" s="4"/>
      <c r="I116" s="8">
        <v>0.03</v>
      </c>
      <c r="J116" s="8">
        <v>0.05</v>
      </c>
      <c r="K116" s="8">
        <v>0.92</v>
      </c>
      <c r="L116" s="5"/>
      <c r="M116" s="9">
        <v>0.04</v>
      </c>
      <c r="N116" s="9">
        <v>0.06</v>
      </c>
      <c r="O116" s="9">
        <v>0.9</v>
      </c>
      <c r="P116" s="6"/>
      <c r="Q116" s="10">
        <f t="shared" si="12"/>
        <v>0.56000000000000005</v>
      </c>
      <c r="R116" s="10">
        <f t="shared" si="13"/>
        <v>0.92</v>
      </c>
      <c r="S116" s="10">
        <f t="shared" si="14"/>
        <v>0.9</v>
      </c>
      <c r="T116" s="10">
        <f t="shared" si="15"/>
        <v>0.33999999999999997</v>
      </c>
    </row>
    <row r="117" spans="1:20" x14ac:dyDescent="0.2">
      <c r="A117" s="2">
        <v>2026</v>
      </c>
      <c r="B117" s="2">
        <v>4</v>
      </c>
      <c r="C117" s="3" t="s">
        <v>24</v>
      </c>
      <c r="D117" s="12">
        <v>114</v>
      </c>
      <c r="E117" s="7">
        <v>0.15</v>
      </c>
      <c r="F117" s="7">
        <v>0.32</v>
      </c>
      <c r="G117" s="7">
        <v>0.4</v>
      </c>
      <c r="H117" s="7">
        <v>0.13</v>
      </c>
      <c r="I117" s="8">
        <v>0.19</v>
      </c>
      <c r="J117" s="8">
        <v>0.21</v>
      </c>
      <c r="K117" s="8">
        <v>0.3</v>
      </c>
      <c r="L117" s="8">
        <v>0.3</v>
      </c>
      <c r="M117" s="9">
        <v>0.2</v>
      </c>
      <c r="N117" s="9">
        <v>0.32</v>
      </c>
      <c r="O117" s="9">
        <v>0.37</v>
      </c>
      <c r="P117" s="9">
        <v>0.11</v>
      </c>
      <c r="Q117" s="10">
        <f t="shared" si="12"/>
        <v>0.53</v>
      </c>
      <c r="R117" s="10">
        <f t="shared" si="13"/>
        <v>0.6</v>
      </c>
      <c r="S117" s="10">
        <f t="shared" si="14"/>
        <v>0.48</v>
      </c>
      <c r="T117" s="10">
        <f t="shared" si="15"/>
        <v>-5.0000000000000044E-2</v>
      </c>
    </row>
    <row r="118" spans="1:20" x14ac:dyDescent="0.2">
      <c r="A118" s="2">
        <v>2026</v>
      </c>
      <c r="B118" s="2">
        <v>4</v>
      </c>
      <c r="C118" s="3" t="s">
        <v>19</v>
      </c>
      <c r="D118" s="12">
        <v>114</v>
      </c>
      <c r="E118" s="7">
        <v>0.6</v>
      </c>
      <c r="F118" s="7">
        <v>0.4</v>
      </c>
      <c r="G118" s="4"/>
      <c r="H118" s="4"/>
      <c r="I118" s="8">
        <v>0.75</v>
      </c>
      <c r="J118" s="8">
        <v>0.25</v>
      </c>
      <c r="K118" s="5"/>
      <c r="L118" s="5"/>
      <c r="M118" s="9">
        <v>0.75</v>
      </c>
      <c r="N118" s="9">
        <v>0.25</v>
      </c>
      <c r="O118" s="6"/>
      <c r="P118" s="6"/>
      <c r="Q118" s="10">
        <f t="shared" si="12"/>
        <v>0</v>
      </c>
      <c r="R118" s="10">
        <f t="shared" si="13"/>
        <v>0</v>
      </c>
      <c r="S118" s="10">
        <f t="shared" si="14"/>
        <v>0</v>
      </c>
      <c r="T118" s="10">
        <f t="shared" si="15"/>
        <v>0</v>
      </c>
    </row>
    <row r="119" spans="1:20" x14ac:dyDescent="0.2">
      <c r="A119" s="2">
        <v>2026</v>
      </c>
      <c r="B119" s="2">
        <v>5</v>
      </c>
      <c r="C119" s="3" t="s">
        <v>25</v>
      </c>
      <c r="D119" s="12">
        <v>100</v>
      </c>
      <c r="E119" s="7">
        <v>0.3</v>
      </c>
      <c r="F119" s="7">
        <v>0.12</v>
      </c>
      <c r="G119" s="7">
        <v>0.31</v>
      </c>
      <c r="H119" s="7">
        <v>0.27</v>
      </c>
      <c r="I119" s="8">
        <v>0.21</v>
      </c>
      <c r="J119" s="8">
        <v>0.11</v>
      </c>
      <c r="K119" s="8">
        <v>0.46</v>
      </c>
      <c r="L119" s="8">
        <v>0.22</v>
      </c>
      <c r="M119" s="9">
        <v>0.11</v>
      </c>
      <c r="N119" s="9">
        <v>0.09</v>
      </c>
      <c r="O119" s="9">
        <v>0.53</v>
      </c>
      <c r="P119" s="9">
        <v>0.27</v>
      </c>
      <c r="Q119" s="10">
        <f t="shared" si="12"/>
        <v>0.58000000000000007</v>
      </c>
      <c r="R119" s="10">
        <f t="shared" si="13"/>
        <v>0.68</v>
      </c>
      <c r="S119" s="10">
        <f t="shared" si="14"/>
        <v>0.8</v>
      </c>
      <c r="T119" s="10">
        <f t="shared" si="15"/>
        <v>0.21999999999999997</v>
      </c>
    </row>
    <row r="120" spans="1:20" x14ac:dyDescent="0.2">
      <c r="A120" s="2">
        <v>2026</v>
      </c>
      <c r="B120" s="2">
        <v>5</v>
      </c>
      <c r="C120" s="3" t="s">
        <v>17</v>
      </c>
      <c r="D120" s="12">
        <v>100</v>
      </c>
      <c r="E120" s="7">
        <v>0.23</v>
      </c>
      <c r="F120" s="7">
        <v>0.21</v>
      </c>
      <c r="G120" s="7">
        <v>0.35</v>
      </c>
      <c r="H120" s="7">
        <v>0.21</v>
      </c>
      <c r="I120" s="8">
        <v>0.25</v>
      </c>
      <c r="J120" s="8">
        <v>0.16</v>
      </c>
      <c r="K120" s="8">
        <v>0.36</v>
      </c>
      <c r="L120" s="8">
        <v>0.23</v>
      </c>
      <c r="M120" s="9">
        <v>0.23</v>
      </c>
      <c r="N120" s="9">
        <v>0.11</v>
      </c>
      <c r="O120" s="9">
        <v>0.23</v>
      </c>
      <c r="P120" s="9">
        <v>0.43</v>
      </c>
      <c r="Q120" s="10">
        <f t="shared" si="12"/>
        <v>0.55999999999999994</v>
      </c>
      <c r="R120" s="10">
        <f t="shared" si="13"/>
        <v>0.59</v>
      </c>
      <c r="S120" s="10">
        <f t="shared" si="14"/>
        <v>0.66</v>
      </c>
      <c r="T120" s="10">
        <f t="shared" si="15"/>
        <v>0.10000000000000009</v>
      </c>
    </row>
    <row r="121" spans="1:20" x14ac:dyDescent="0.2">
      <c r="A121" s="2">
        <v>2026</v>
      </c>
      <c r="B121" s="2">
        <v>5</v>
      </c>
      <c r="C121" s="3" t="s">
        <v>23</v>
      </c>
      <c r="D121" s="12">
        <v>100</v>
      </c>
      <c r="E121" s="7">
        <v>0.09</v>
      </c>
      <c r="F121" s="7">
        <v>0.14000000000000001</v>
      </c>
      <c r="G121" s="7">
        <v>0.77</v>
      </c>
      <c r="H121" s="4"/>
      <c r="I121" s="8">
        <v>0.06</v>
      </c>
      <c r="J121" s="8">
        <v>0.04</v>
      </c>
      <c r="K121" s="8">
        <v>0.9</v>
      </c>
      <c r="L121" s="5"/>
      <c r="M121" s="9">
        <v>0.02</v>
      </c>
      <c r="N121" s="9">
        <v>0.03</v>
      </c>
      <c r="O121" s="9">
        <v>0.95</v>
      </c>
      <c r="P121" s="6"/>
      <c r="Q121" s="10">
        <f t="shared" si="12"/>
        <v>0.77</v>
      </c>
      <c r="R121" s="10">
        <f t="shared" si="13"/>
        <v>0.9</v>
      </c>
      <c r="S121" s="10">
        <f t="shared" si="14"/>
        <v>0.95</v>
      </c>
      <c r="T121" s="10">
        <f t="shared" si="15"/>
        <v>0.17999999999999994</v>
      </c>
    </row>
    <row r="122" spans="1:20" x14ac:dyDescent="0.2">
      <c r="A122" s="2">
        <v>2026</v>
      </c>
      <c r="B122" s="2">
        <v>5</v>
      </c>
      <c r="C122" s="3" t="s">
        <v>24</v>
      </c>
      <c r="D122" s="12">
        <v>100</v>
      </c>
      <c r="E122" s="7">
        <v>0.23</v>
      </c>
      <c r="F122" s="7">
        <v>0.2</v>
      </c>
      <c r="G122" s="7">
        <v>0.35</v>
      </c>
      <c r="H122" s="7">
        <v>0.22</v>
      </c>
      <c r="I122" s="8">
        <v>0.25</v>
      </c>
      <c r="J122" s="8">
        <v>0.16</v>
      </c>
      <c r="K122" s="8">
        <v>0.35</v>
      </c>
      <c r="L122" s="8">
        <v>0.24</v>
      </c>
      <c r="M122" s="9">
        <v>0.25</v>
      </c>
      <c r="N122" s="9">
        <v>0.09</v>
      </c>
      <c r="O122" s="9">
        <v>0.21</v>
      </c>
      <c r="P122" s="9">
        <v>0.45</v>
      </c>
      <c r="Q122" s="10">
        <f t="shared" si="12"/>
        <v>0.56999999999999995</v>
      </c>
      <c r="R122" s="10">
        <f t="shared" si="13"/>
        <v>0.59</v>
      </c>
      <c r="S122" s="10">
        <f t="shared" si="14"/>
        <v>0.66</v>
      </c>
      <c r="T122" s="10">
        <f t="shared" si="15"/>
        <v>9.000000000000008E-2</v>
      </c>
    </row>
    <row r="123" spans="1:20" x14ac:dyDescent="0.2">
      <c r="A123" s="2">
        <v>2022</v>
      </c>
      <c r="B123" s="2" t="s">
        <v>16</v>
      </c>
      <c r="C123" s="3" t="s">
        <v>17</v>
      </c>
      <c r="D123" s="12">
        <v>96</v>
      </c>
      <c r="E123" s="7">
        <v>0.57999999999999996</v>
      </c>
      <c r="F123" s="7">
        <v>0.27</v>
      </c>
      <c r="G123" s="7">
        <v>0.09</v>
      </c>
      <c r="H123" s="7">
        <v>0.06</v>
      </c>
      <c r="I123" s="8">
        <v>0.17</v>
      </c>
      <c r="J123" s="8">
        <v>0.19</v>
      </c>
      <c r="K123" s="8">
        <v>0.39</v>
      </c>
      <c r="L123" s="8">
        <v>0.25</v>
      </c>
      <c r="M123" s="9">
        <v>0.05</v>
      </c>
      <c r="N123" s="9">
        <v>0.16</v>
      </c>
      <c r="O123" s="9">
        <v>0.43</v>
      </c>
      <c r="P123" s="9">
        <v>0.36</v>
      </c>
      <c r="Q123" s="10">
        <f t="shared" si="12"/>
        <v>0.15</v>
      </c>
      <c r="R123" s="10">
        <f t="shared" si="13"/>
        <v>0.64</v>
      </c>
      <c r="S123" s="10">
        <f t="shared" si="14"/>
        <v>0.79</v>
      </c>
      <c r="T123" s="10">
        <f t="shared" si="15"/>
        <v>0.64</v>
      </c>
    </row>
    <row r="124" spans="1:20" x14ac:dyDescent="0.2">
      <c r="A124" s="2">
        <v>2023</v>
      </c>
      <c r="B124" s="2" t="s">
        <v>16</v>
      </c>
      <c r="C124" s="3" t="s">
        <v>17</v>
      </c>
      <c r="D124" s="12">
        <v>103</v>
      </c>
      <c r="E124" s="7">
        <v>0.52</v>
      </c>
      <c r="F124" s="7">
        <v>0.11</v>
      </c>
      <c r="G124" s="7">
        <v>0.17</v>
      </c>
      <c r="H124" s="7">
        <v>0.2</v>
      </c>
      <c r="I124" s="8">
        <v>0.14000000000000001</v>
      </c>
      <c r="J124" s="8">
        <v>0.12</v>
      </c>
      <c r="K124" s="8">
        <v>0.35</v>
      </c>
      <c r="L124" s="8">
        <v>0.39</v>
      </c>
      <c r="M124" s="9">
        <v>0.08</v>
      </c>
      <c r="N124" s="9">
        <v>0.03</v>
      </c>
      <c r="O124" s="9">
        <v>0.37</v>
      </c>
      <c r="P124" s="9">
        <v>0.52</v>
      </c>
      <c r="Q124" s="10">
        <f t="shared" si="12"/>
        <v>0.37</v>
      </c>
      <c r="R124" s="10">
        <f t="shared" si="13"/>
        <v>0.74</v>
      </c>
      <c r="S124" s="10">
        <f t="shared" si="14"/>
        <v>0.89</v>
      </c>
      <c r="T124" s="10">
        <f t="shared" si="15"/>
        <v>0.52</v>
      </c>
    </row>
    <row r="125" spans="1:20" x14ac:dyDescent="0.2">
      <c r="A125" s="2">
        <v>2024</v>
      </c>
      <c r="B125" s="2" t="s">
        <v>16</v>
      </c>
      <c r="C125" s="3" t="s">
        <v>17</v>
      </c>
      <c r="D125" s="17">
        <v>98</v>
      </c>
      <c r="E125" s="11">
        <v>0.5</v>
      </c>
      <c r="F125" s="7">
        <v>0.22</v>
      </c>
      <c r="G125" s="7">
        <v>0.15</v>
      </c>
      <c r="H125" s="7">
        <v>0.13</v>
      </c>
      <c r="I125" s="7">
        <v>0.1</v>
      </c>
      <c r="J125" s="8">
        <v>0.01</v>
      </c>
      <c r="K125" s="8">
        <v>0.4</v>
      </c>
      <c r="L125" s="8">
        <v>0.49</v>
      </c>
      <c r="M125" s="8">
        <v>0.03</v>
      </c>
      <c r="N125" s="9">
        <v>0.04</v>
      </c>
      <c r="O125" s="9">
        <v>0.42</v>
      </c>
      <c r="P125" s="9">
        <v>0.51</v>
      </c>
      <c r="Q125" s="10">
        <f t="shared" si="12"/>
        <v>0.28000000000000003</v>
      </c>
      <c r="R125" s="10">
        <f t="shared" si="13"/>
        <v>0.89</v>
      </c>
      <c r="S125" s="10">
        <f t="shared" si="14"/>
        <v>0.92999999999999994</v>
      </c>
      <c r="T125" s="10">
        <f t="shared" si="15"/>
        <v>0.64999999999999991</v>
      </c>
    </row>
    <row r="126" spans="1:20" x14ac:dyDescent="0.2">
      <c r="A126" s="2">
        <v>2025</v>
      </c>
      <c r="B126" s="2" t="s">
        <v>16</v>
      </c>
      <c r="C126" s="3" t="s">
        <v>17</v>
      </c>
      <c r="D126" s="12">
        <v>89</v>
      </c>
      <c r="E126" s="7">
        <v>0.46</v>
      </c>
      <c r="F126" s="7">
        <v>0.21</v>
      </c>
      <c r="G126" s="7">
        <v>0.13</v>
      </c>
      <c r="H126" s="7">
        <v>0.2</v>
      </c>
      <c r="I126" s="8">
        <v>0.06</v>
      </c>
      <c r="J126" s="8">
        <v>0.08</v>
      </c>
      <c r="K126" s="8">
        <v>0.49</v>
      </c>
      <c r="L126" s="8">
        <v>0.37</v>
      </c>
      <c r="M126" s="6"/>
      <c r="N126" s="6"/>
      <c r="O126" s="9">
        <v>0.24</v>
      </c>
      <c r="P126" s="9">
        <v>0.73</v>
      </c>
      <c r="Q126" s="10">
        <f t="shared" si="12"/>
        <v>0.33</v>
      </c>
      <c r="R126" s="10">
        <f t="shared" si="13"/>
        <v>0.86</v>
      </c>
      <c r="S126" s="10">
        <f t="shared" si="14"/>
        <v>0.97</v>
      </c>
      <c r="T126" s="10">
        <f t="shared" si="15"/>
        <v>0.6399999999999999</v>
      </c>
    </row>
    <row r="127" spans="1:20" x14ac:dyDescent="0.2">
      <c r="A127" s="2">
        <v>2026</v>
      </c>
      <c r="B127" s="2" t="s">
        <v>16</v>
      </c>
      <c r="C127" s="3" t="s">
        <v>17</v>
      </c>
      <c r="D127" s="12">
        <v>66</v>
      </c>
      <c r="E127" s="7">
        <v>0.44</v>
      </c>
      <c r="F127" s="7">
        <v>0.37</v>
      </c>
      <c r="G127" s="7">
        <v>7.0000000000000007E-2</v>
      </c>
      <c r="H127" s="7">
        <v>0.12</v>
      </c>
      <c r="I127" s="5"/>
      <c r="J127" s="8">
        <v>0.09</v>
      </c>
      <c r="K127" s="8">
        <v>0.42</v>
      </c>
      <c r="L127" s="8">
        <v>0.49</v>
      </c>
      <c r="M127" s="6"/>
      <c r="N127" s="6"/>
      <c r="O127" s="9">
        <v>0.33</v>
      </c>
      <c r="P127" s="9">
        <v>0.67</v>
      </c>
      <c r="Q127" s="10">
        <f t="shared" si="12"/>
        <v>0.19</v>
      </c>
      <c r="R127" s="10">
        <f t="shared" si="13"/>
        <v>0.90999999999999992</v>
      </c>
      <c r="S127" s="10">
        <f t="shared" si="14"/>
        <v>1</v>
      </c>
      <c r="T127" s="10">
        <f t="shared" si="15"/>
        <v>0.81</v>
      </c>
    </row>
    <row r="128" spans="1:20" x14ac:dyDescent="0.2">
      <c r="A128" s="2">
        <v>2022</v>
      </c>
      <c r="B128" s="2" t="s">
        <v>16</v>
      </c>
      <c r="C128" s="3" t="s">
        <v>22</v>
      </c>
      <c r="D128" s="12">
        <v>96</v>
      </c>
      <c r="E128" s="7">
        <v>0.38</v>
      </c>
      <c r="F128" s="7">
        <v>0.6</v>
      </c>
      <c r="G128" s="4"/>
      <c r="H128" s="4"/>
      <c r="I128" s="8">
        <v>0.43</v>
      </c>
      <c r="J128" s="8">
        <v>0.16</v>
      </c>
      <c r="K128" s="8">
        <v>0.25</v>
      </c>
      <c r="L128" s="8">
        <v>0.16</v>
      </c>
      <c r="M128" s="9">
        <v>0.16</v>
      </c>
      <c r="N128" s="9">
        <v>0.13</v>
      </c>
      <c r="O128" s="9">
        <v>0.45</v>
      </c>
      <c r="P128" s="9">
        <v>0.26</v>
      </c>
      <c r="Q128" s="10">
        <f t="shared" si="12"/>
        <v>0</v>
      </c>
      <c r="R128" s="10">
        <f t="shared" si="13"/>
        <v>0.41000000000000003</v>
      </c>
      <c r="S128" s="10">
        <f t="shared" si="14"/>
        <v>0.71</v>
      </c>
      <c r="T128" s="10">
        <f t="shared" si="15"/>
        <v>0.71</v>
      </c>
    </row>
    <row r="129" spans="1:20" x14ac:dyDescent="0.2">
      <c r="A129" s="2">
        <v>2023</v>
      </c>
      <c r="B129" s="2" t="s">
        <v>16</v>
      </c>
      <c r="C129" s="3" t="s">
        <v>22</v>
      </c>
      <c r="D129" s="12">
        <v>103</v>
      </c>
      <c r="E129" s="7"/>
      <c r="F129" s="7">
        <v>0.94</v>
      </c>
      <c r="G129" s="7">
        <v>0.06</v>
      </c>
      <c r="H129" s="7"/>
      <c r="I129" s="8">
        <v>0.35</v>
      </c>
      <c r="J129" s="8">
        <v>0.09</v>
      </c>
      <c r="K129" s="8">
        <v>0.25</v>
      </c>
      <c r="L129" s="8">
        <v>0.31</v>
      </c>
      <c r="M129" s="9">
        <v>0.13</v>
      </c>
      <c r="N129" s="9">
        <v>0.06</v>
      </c>
      <c r="O129" s="9">
        <v>0.32</v>
      </c>
      <c r="P129" s="9">
        <v>0.49</v>
      </c>
      <c r="Q129" s="10">
        <f t="shared" si="12"/>
        <v>0.06</v>
      </c>
      <c r="R129" s="10">
        <f t="shared" si="13"/>
        <v>0.56000000000000005</v>
      </c>
      <c r="S129" s="10">
        <f t="shared" si="14"/>
        <v>0.81</v>
      </c>
      <c r="T129" s="10">
        <f t="shared" si="15"/>
        <v>0.75</v>
      </c>
    </row>
    <row r="130" spans="1:20" x14ac:dyDescent="0.2">
      <c r="A130" s="2">
        <v>2024</v>
      </c>
      <c r="B130" s="2" t="s">
        <v>16</v>
      </c>
      <c r="C130" s="3" t="s">
        <v>22</v>
      </c>
      <c r="D130" s="17">
        <v>98</v>
      </c>
      <c r="E130" s="12"/>
      <c r="F130" s="7">
        <v>0.93</v>
      </c>
      <c r="G130" s="7">
        <v>7.0000000000000007E-2</v>
      </c>
      <c r="H130" s="4"/>
      <c r="I130" s="7">
        <v>0.17</v>
      </c>
      <c r="J130" s="8">
        <v>0.09</v>
      </c>
      <c r="K130" s="8">
        <v>0.23</v>
      </c>
      <c r="L130" s="8">
        <v>0.51</v>
      </c>
      <c r="M130" s="8">
        <v>0.1</v>
      </c>
      <c r="N130" s="9">
        <v>0.04</v>
      </c>
      <c r="O130" s="9">
        <v>0.34</v>
      </c>
      <c r="P130" s="9">
        <v>0.52</v>
      </c>
      <c r="Q130" s="10">
        <f t="shared" ref="Q130:Q152" si="16">SUM(G130:H130)</f>
        <v>7.0000000000000007E-2</v>
      </c>
      <c r="R130" s="10">
        <f t="shared" ref="R130:R152" si="17">SUM(K130:L130)</f>
        <v>0.74</v>
      </c>
      <c r="S130" s="10">
        <f t="shared" ref="S130:S152" si="18">SUM(O130:P130)</f>
        <v>0.8600000000000001</v>
      </c>
      <c r="T130" s="10">
        <f t="shared" ref="T130:T161" si="19">S130-Q130</f>
        <v>0.79</v>
      </c>
    </row>
    <row r="131" spans="1:20" x14ac:dyDescent="0.2">
      <c r="A131" s="2">
        <v>2025</v>
      </c>
      <c r="B131" s="2" t="s">
        <v>16</v>
      </c>
      <c r="C131" s="3" t="s">
        <v>22</v>
      </c>
      <c r="D131" s="12">
        <v>89</v>
      </c>
      <c r="E131" s="4"/>
      <c r="F131" s="7">
        <v>0.93</v>
      </c>
      <c r="G131" s="7">
        <v>7.0000000000000007E-2</v>
      </c>
      <c r="H131" s="4"/>
      <c r="I131" s="8">
        <v>0.19</v>
      </c>
      <c r="J131" s="8">
        <v>0.02</v>
      </c>
      <c r="K131" s="8">
        <v>0.3</v>
      </c>
      <c r="L131" s="8">
        <v>0.49</v>
      </c>
      <c r="M131" s="9">
        <v>0.03</v>
      </c>
      <c r="N131" s="9">
        <v>0.01</v>
      </c>
      <c r="O131" s="9">
        <v>0.19</v>
      </c>
      <c r="P131" s="9">
        <v>0.75</v>
      </c>
      <c r="Q131" s="10">
        <f t="shared" si="16"/>
        <v>7.0000000000000007E-2</v>
      </c>
      <c r="R131" s="10">
        <f t="shared" si="17"/>
        <v>0.79</v>
      </c>
      <c r="S131" s="10">
        <f t="shared" si="18"/>
        <v>0.94</v>
      </c>
      <c r="T131" s="10">
        <f t="shared" si="19"/>
        <v>0.86999999999999988</v>
      </c>
    </row>
    <row r="132" spans="1:20" x14ac:dyDescent="0.2">
      <c r="A132" s="2">
        <v>2026</v>
      </c>
      <c r="B132" s="2" t="s">
        <v>16</v>
      </c>
      <c r="C132" s="3" t="s">
        <v>22</v>
      </c>
      <c r="D132" s="12">
        <v>66</v>
      </c>
      <c r="E132" s="4"/>
      <c r="F132" s="7">
        <v>0.97</v>
      </c>
      <c r="G132" s="7">
        <v>0.03</v>
      </c>
      <c r="H132" s="4"/>
      <c r="I132" s="8">
        <v>0.13</v>
      </c>
      <c r="J132" s="8">
        <v>7.0000000000000007E-2</v>
      </c>
      <c r="K132" s="8">
        <v>0.28000000000000003</v>
      </c>
      <c r="L132" s="8">
        <v>0.52</v>
      </c>
      <c r="M132" s="9">
        <v>0.03</v>
      </c>
      <c r="N132" s="9">
        <v>0.02</v>
      </c>
      <c r="O132" s="9">
        <v>0.26</v>
      </c>
      <c r="P132" s="9">
        <v>0.69</v>
      </c>
      <c r="Q132" s="10">
        <f t="shared" si="16"/>
        <v>0.03</v>
      </c>
      <c r="R132" s="10">
        <f t="shared" si="17"/>
        <v>0.8</v>
      </c>
      <c r="S132" s="10">
        <f t="shared" si="18"/>
        <v>0.95</v>
      </c>
      <c r="T132" s="10">
        <f t="shared" si="19"/>
        <v>0.91999999999999993</v>
      </c>
    </row>
    <row r="133" spans="1:20" x14ac:dyDescent="0.2">
      <c r="A133" s="2">
        <v>2022</v>
      </c>
      <c r="B133" s="2" t="s">
        <v>16</v>
      </c>
      <c r="C133" s="3" t="s">
        <v>20</v>
      </c>
      <c r="D133" s="12">
        <v>96</v>
      </c>
      <c r="E133" s="7">
        <v>0.61</v>
      </c>
      <c r="F133" s="7">
        <v>0.23</v>
      </c>
      <c r="G133" s="7">
        <v>0.16</v>
      </c>
      <c r="H133" s="7"/>
      <c r="I133" s="8">
        <v>0.22</v>
      </c>
      <c r="J133" s="8">
        <v>0.15</v>
      </c>
      <c r="K133" s="8">
        <v>0.63</v>
      </c>
      <c r="L133" s="8"/>
      <c r="M133" s="9">
        <v>0.09</v>
      </c>
      <c r="N133" s="9">
        <v>0.13</v>
      </c>
      <c r="O133" s="9">
        <v>0.78</v>
      </c>
      <c r="P133" s="9"/>
      <c r="Q133" s="10">
        <f t="shared" si="16"/>
        <v>0.16</v>
      </c>
      <c r="R133" s="10">
        <f t="shared" si="17"/>
        <v>0.63</v>
      </c>
      <c r="S133" s="10">
        <f t="shared" si="18"/>
        <v>0.78</v>
      </c>
      <c r="T133" s="10">
        <f t="shared" si="19"/>
        <v>0.62</v>
      </c>
    </row>
    <row r="134" spans="1:20" x14ac:dyDescent="0.2">
      <c r="A134" s="2">
        <v>2023</v>
      </c>
      <c r="B134" s="2" t="s">
        <v>16</v>
      </c>
      <c r="C134" s="3" t="s">
        <v>20</v>
      </c>
      <c r="D134" s="12">
        <v>103</v>
      </c>
      <c r="E134" s="7">
        <v>0.52</v>
      </c>
      <c r="F134" s="7">
        <v>0.1</v>
      </c>
      <c r="G134" s="7">
        <v>0.38</v>
      </c>
      <c r="H134" s="7"/>
      <c r="I134" s="8">
        <v>0.16</v>
      </c>
      <c r="J134" s="8">
        <v>0.13</v>
      </c>
      <c r="K134" s="8">
        <v>0.71</v>
      </c>
      <c r="L134" s="8"/>
      <c r="M134" s="9">
        <v>0.06</v>
      </c>
      <c r="N134" s="9">
        <v>0.09</v>
      </c>
      <c r="O134" s="9">
        <v>0.85</v>
      </c>
      <c r="P134" s="6"/>
      <c r="Q134" s="10">
        <f t="shared" si="16"/>
        <v>0.38</v>
      </c>
      <c r="R134" s="10">
        <f t="shared" si="17"/>
        <v>0.71</v>
      </c>
      <c r="S134" s="10">
        <f t="shared" si="18"/>
        <v>0.85</v>
      </c>
      <c r="T134" s="10">
        <f t="shared" si="19"/>
        <v>0.47</v>
      </c>
    </row>
    <row r="135" spans="1:20" x14ac:dyDescent="0.2">
      <c r="A135" s="2">
        <v>2024</v>
      </c>
      <c r="B135" s="2" t="s">
        <v>16</v>
      </c>
      <c r="C135" s="3" t="s">
        <v>20</v>
      </c>
      <c r="D135" s="17">
        <v>98</v>
      </c>
      <c r="E135" s="11">
        <v>0.52</v>
      </c>
      <c r="F135" s="7">
        <v>0.2</v>
      </c>
      <c r="G135" s="7">
        <v>0.28000000000000003</v>
      </c>
      <c r="H135" s="4"/>
      <c r="I135" s="7">
        <v>0.12</v>
      </c>
      <c r="J135" s="8">
        <v>7.0000000000000007E-2</v>
      </c>
      <c r="K135" s="8">
        <v>0.81</v>
      </c>
      <c r="L135" s="5"/>
      <c r="M135" s="8">
        <v>0.03</v>
      </c>
      <c r="N135" s="9">
        <v>7.0000000000000007E-2</v>
      </c>
      <c r="O135" s="9">
        <v>0.9</v>
      </c>
      <c r="P135" s="6"/>
      <c r="Q135" s="10">
        <f t="shared" si="16"/>
        <v>0.28000000000000003</v>
      </c>
      <c r="R135" s="10">
        <f t="shared" si="17"/>
        <v>0.81</v>
      </c>
      <c r="S135" s="10">
        <f t="shared" si="18"/>
        <v>0.9</v>
      </c>
      <c r="T135" s="10">
        <f t="shared" si="19"/>
        <v>0.62</v>
      </c>
    </row>
    <row r="136" spans="1:20" x14ac:dyDescent="0.2">
      <c r="A136" s="2">
        <v>2025</v>
      </c>
      <c r="B136" s="2" t="s">
        <v>16</v>
      </c>
      <c r="C136" s="3" t="s">
        <v>20</v>
      </c>
      <c r="D136" s="12">
        <v>89</v>
      </c>
      <c r="E136" s="7">
        <v>0.48</v>
      </c>
      <c r="F136" s="7">
        <v>0.22</v>
      </c>
      <c r="G136" s="7">
        <v>0.3</v>
      </c>
      <c r="H136" s="4"/>
      <c r="I136" s="8">
        <v>0.11</v>
      </c>
      <c r="J136" s="8">
        <v>0.09</v>
      </c>
      <c r="K136" s="8">
        <v>0.8</v>
      </c>
      <c r="L136" s="5"/>
      <c r="M136" s="9">
        <v>0.03</v>
      </c>
      <c r="N136" s="9">
        <v>0.01</v>
      </c>
      <c r="O136" s="9">
        <v>0.96</v>
      </c>
      <c r="P136" s="6"/>
      <c r="Q136" s="10">
        <f t="shared" si="16"/>
        <v>0.3</v>
      </c>
      <c r="R136" s="10">
        <f t="shared" si="17"/>
        <v>0.8</v>
      </c>
      <c r="S136" s="10">
        <f t="shared" si="18"/>
        <v>0.96</v>
      </c>
      <c r="T136" s="10">
        <f t="shared" si="19"/>
        <v>0.65999999999999992</v>
      </c>
    </row>
    <row r="137" spans="1:20" x14ac:dyDescent="0.2">
      <c r="A137" s="2">
        <v>2026</v>
      </c>
      <c r="B137" s="2" t="s">
        <v>16</v>
      </c>
      <c r="C137" s="3" t="s">
        <v>20</v>
      </c>
      <c r="D137" s="12">
        <v>66</v>
      </c>
      <c r="E137" s="7">
        <v>0.47</v>
      </c>
      <c r="F137" s="7">
        <v>0.35</v>
      </c>
      <c r="G137" s="7">
        <v>0.18</v>
      </c>
      <c r="H137" s="4"/>
      <c r="I137" s="8">
        <v>0.05</v>
      </c>
      <c r="J137" s="8">
        <v>0.04</v>
      </c>
      <c r="K137" s="8">
        <v>0.91</v>
      </c>
      <c r="L137" s="5"/>
      <c r="M137" s="6"/>
      <c r="N137" s="9">
        <v>0.02</v>
      </c>
      <c r="O137" s="9">
        <v>0.98</v>
      </c>
      <c r="P137" s="6"/>
      <c r="Q137" s="10">
        <f t="shared" si="16"/>
        <v>0.18</v>
      </c>
      <c r="R137" s="10">
        <f t="shared" si="17"/>
        <v>0.91</v>
      </c>
      <c r="S137" s="10">
        <f t="shared" si="18"/>
        <v>0.98</v>
      </c>
      <c r="T137" s="10">
        <f t="shared" si="19"/>
        <v>0.8</v>
      </c>
    </row>
    <row r="138" spans="1:20" x14ac:dyDescent="0.2">
      <c r="A138" s="2">
        <v>2022</v>
      </c>
      <c r="B138" s="2" t="s">
        <v>16</v>
      </c>
      <c r="C138" s="3" t="s">
        <v>21</v>
      </c>
      <c r="D138" s="12">
        <v>96</v>
      </c>
      <c r="E138" s="7">
        <v>0.7</v>
      </c>
      <c r="F138" s="7">
        <v>0.14000000000000001</v>
      </c>
      <c r="G138" s="7">
        <v>0.13</v>
      </c>
      <c r="H138" s="7">
        <v>0.03</v>
      </c>
      <c r="I138" s="8">
        <v>0.17</v>
      </c>
      <c r="J138" s="8">
        <v>0.22</v>
      </c>
      <c r="K138" s="8">
        <v>0.4</v>
      </c>
      <c r="L138" s="8">
        <v>0.21</v>
      </c>
      <c r="M138" s="9">
        <v>7.0000000000000007E-2</v>
      </c>
      <c r="N138" s="9">
        <v>0.17</v>
      </c>
      <c r="O138" s="9">
        <v>0.55000000000000004</v>
      </c>
      <c r="P138" s="9">
        <v>0.21</v>
      </c>
      <c r="Q138" s="10">
        <f t="shared" si="16"/>
        <v>0.16</v>
      </c>
      <c r="R138" s="10">
        <f t="shared" si="17"/>
        <v>0.61</v>
      </c>
      <c r="S138" s="10">
        <f t="shared" si="18"/>
        <v>0.76</v>
      </c>
      <c r="T138" s="10">
        <f t="shared" si="19"/>
        <v>0.6</v>
      </c>
    </row>
    <row r="139" spans="1:20" x14ac:dyDescent="0.2">
      <c r="A139" s="2">
        <v>2023</v>
      </c>
      <c r="B139" s="2" t="s">
        <v>16</v>
      </c>
      <c r="C139" s="3" t="s">
        <v>21</v>
      </c>
      <c r="D139" s="12">
        <v>103</v>
      </c>
      <c r="E139" s="7">
        <v>0.6</v>
      </c>
      <c r="F139" s="7">
        <v>0.11</v>
      </c>
      <c r="G139" s="7">
        <v>0.17</v>
      </c>
      <c r="H139" s="7">
        <v>0.12</v>
      </c>
      <c r="I139" s="8">
        <v>0.15</v>
      </c>
      <c r="J139" s="8">
        <v>0.12</v>
      </c>
      <c r="K139" s="8">
        <v>0.37</v>
      </c>
      <c r="L139" s="8">
        <v>0.36</v>
      </c>
      <c r="M139" s="9">
        <v>7.0000000000000007E-2</v>
      </c>
      <c r="N139" s="9">
        <v>0.09</v>
      </c>
      <c r="O139" s="9">
        <v>0.39</v>
      </c>
      <c r="P139" s="9">
        <v>0.45</v>
      </c>
      <c r="Q139" s="10">
        <f t="shared" si="16"/>
        <v>0.29000000000000004</v>
      </c>
      <c r="R139" s="10">
        <f t="shared" si="17"/>
        <v>0.73</v>
      </c>
      <c r="S139" s="10">
        <f t="shared" si="18"/>
        <v>0.84000000000000008</v>
      </c>
      <c r="T139" s="10">
        <f t="shared" si="19"/>
        <v>0.55000000000000004</v>
      </c>
    </row>
    <row r="140" spans="1:20" x14ac:dyDescent="0.2">
      <c r="A140" s="2">
        <v>2024</v>
      </c>
      <c r="B140" s="2" t="s">
        <v>16</v>
      </c>
      <c r="C140" s="3" t="s">
        <v>21</v>
      </c>
      <c r="D140" s="17">
        <v>98</v>
      </c>
      <c r="E140" s="11">
        <v>0.54</v>
      </c>
      <c r="F140" s="7">
        <v>0.27</v>
      </c>
      <c r="G140" s="7">
        <v>0.16</v>
      </c>
      <c r="H140" s="7">
        <v>0.03</v>
      </c>
      <c r="I140" s="7">
        <v>0.08</v>
      </c>
      <c r="J140" s="8">
        <v>0.11</v>
      </c>
      <c r="K140" s="8">
        <v>0.34</v>
      </c>
      <c r="L140" s="8">
        <v>0.47</v>
      </c>
      <c r="M140" s="8">
        <v>0.03</v>
      </c>
      <c r="N140" s="9">
        <v>0.1</v>
      </c>
      <c r="O140" s="9">
        <v>0.5</v>
      </c>
      <c r="P140" s="9">
        <v>0.37</v>
      </c>
      <c r="Q140" s="10">
        <f t="shared" si="16"/>
        <v>0.19</v>
      </c>
      <c r="R140" s="10">
        <f t="shared" si="17"/>
        <v>0.81</v>
      </c>
      <c r="S140" s="10">
        <f t="shared" si="18"/>
        <v>0.87</v>
      </c>
      <c r="T140" s="10">
        <f t="shared" si="19"/>
        <v>0.67999999999999994</v>
      </c>
    </row>
    <row r="141" spans="1:20" x14ac:dyDescent="0.2">
      <c r="A141" s="2">
        <v>2025</v>
      </c>
      <c r="B141" s="2" t="s">
        <v>16</v>
      </c>
      <c r="C141" s="3" t="s">
        <v>21</v>
      </c>
      <c r="D141" s="12">
        <v>89</v>
      </c>
      <c r="E141" s="7">
        <v>0.53</v>
      </c>
      <c r="F141" s="7">
        <v>0.2</v>
      </c>
      <c r="G141" s="7">
        <v>0.2</v>
      </c>
      <c r="H141" s="7">
        <v>7.0000000000000007E-2</v>
      </c>
      <c r="I141" s="8">
        <v>0.06</v>
      </c>
      <c r="J141" s="8">
        <v>0.14000000000000001</v>
      </c>
      <c r="K141" s="8">
        <v>0.36</v>
      </c>
      <c r="L141" s="8">
        <v>0.44</v>
      </c>
      <c r="M141" s="6"/>
      <c r="N141" s="9">
        <v>0.02</v>
      </c>
      <c r="O141" s="9">
        <v>0.38</v>
      </c>
      <c r="P141" s="9">
        <v>0.6</v>
      </c>
      <c r="Q141" s="10">
        <f t="shared" si="16"/>
        <v>0.27</v>
      </c>
      <c r="R141" s="10">
        <f t="shared" si="17"/>
        <v>0.8</v>
      </c>
      <c r="S141" s="10">
        <f t="shared" si="18"/>
        <v>0.98</v>
      </c>
      <c r="T141" s="10">
        <f t="shared" si="19"/>
        <v>0.71</v>
      </c>
    </row>
    <row r="142" spans="1:20" x14ac:dyDescent="0.2">
      <c r="A142" s="2">
        <v>2026</v>
      </c>
      <c r="B142" s="2" t="s">
        <v>16</v>
      </c>
      <c r="C142" s="3" t="s">
        <v>21</v>
      </c>
      <c r="D142" s="12">
        <v>66</v>
      </c>
      <c r="E142" s="7">
        <v>0.56999999999999995</v>
      </c>
      <c r="F142" s="7">
        <v>0.25</v>
      </c>
      <c r="G142" s="7">
        <v>0.1</v>
      </c>
      <c r="H142" s="7">
        <v>0.08</v>
      </c>
      <c r="I142" s="5"/>
      <c r="J142" s="8">
        <v>7.0000000000000007E-2</v>
      </c>
      <c r="K142" s="8">
        <v>0.45</v>
      </c>
      <c r="L142" s="8">
        <v>0.48</v>
      </c>
      <c r="M142" s="6"/>
      <c r="N142" s="9">
        <v>0.03</v>
      </c>
      <c r="O142" s="9">
        <v>0.45</v>
      </c>
      <c r="P142" s="9">
        <v>0.52</v>
      </c>
      <c r="Q142" s="10">
        <f t="shared" si="16"/>
        <v>0.18</v>
      </c>
      <c r="R142" s="10">
        <f t="shared" si="17"/>
        <v>0.92999999999999994</v>
      </c>
      <c r="S142" s="10">
        <f t="shared" si="18"/>
        <v>0.97</v>
      </c>
      <c r="T142" s="10">
        <f t="shared" si="19"/>
        <v>0.79</v>
      </c>
    </row>
    <row r="143" spans="1:20" x14ac:dyDescent="0.2">
      <c r="A143" s="2">
        <v>2022</v>
      </c>
      <c r="B143" s="2" t="s">
        <v>16</v>
      </c>
      <c r="C143" s="3" t="s">
        <v>18</v>
      </c>
      <c r="D143" s="12">
        <v>96</v>
      </c>
      <c r="E143" s="7">
        <v>0.37</v>
      </c>
      <c r="F143" s="7">
        <v>0.15</v>
      </c>
      <c r="G143" s="7">
        <v>0.37</v>
      </c>
      <c r="H143" s="7">
        <v>0.11</v>
      </c>
      <c r="I143" s="8">
        <v>0.32</v>
      </c>
      <c r="J143" s="8">
        <v>0.09</v>
      </c>
      <c r="K143" s="8">
        <v>0.28000000000000003</v>
      </c>
      <c r="L143" s="8">
        <v>0.31</v>
      </c>
      <c r="M143" s="9">
        <v>0.19</v>
      </c>
      <c r="N143" s="9">
        <v>0.13</v>
      </c>
      <c r="O143" s="9">
        <v>0.11</v>
      </c>
      <c r="P143" s="9">
        <v>0.56999999999999995</v>
      </c>
      <c r="Q143" s="10">
        <f t="shared" si="16"/>
        <v>0.48</v>
      </c>
      <c r="R143" s="10">
        <f t="shared" si="17"/>
        <v>0.59000000000000008</v>
      </c>
      <c r="S143" s="10">
        <f t="shared" si="18"/>
        <v>0.67999999999999994</v>
      </c>
      <c r="T143" s="10">
        <f t="shared" si="19"/>
        <v>0.19999999999999996</v>
      </c>
    </row>
    <row r="144" spans="1:20" x14ac:dyDescent="0.2">
      <c r="A144" s="2">
        <v>2023</v>
      </c>
      <c r="B144" s="2" t="s">
        <v>16</v>
      </c>
      <c r="C144" s="3" t="s">
        <v>18</v>
      </c>
      <c r="D144" s="12">
        <v>103</v>
      </c>
      <c r="E144" s="7">
        <v>0.3</v>
      </c>
      <c r="F144" s="7">
        <v>0.22</v>
      </c>
      <c r="G144" s="7">
        <v>0.36</v>
      </c>
      <c r="H144" s="7">
        <v>0.12</v>
      </c>
      <c r="I144" s="8">
        <v>0.26</v>
      </c>
      <c r="J144" s="8">
        <v>0.05</v>
      </c>
      <c r="K144" s="8">
        <v>0.35</v>
      </c>
      <c r="L144" s="8">
        <v>0.34</v>
      </c>
      <c r="M144" s="9">
        <v>0.12</v>
      </c>
      <c r="N144" s="9">
        <v>0.09</v>
      </c>
      <c r="O144" s="9">
        <v>0.24</v>
      </c>
      <c r="P144" s="9">
        <v>0.55000000000000004</v>
      </c>
      <c r="Q144" s="10">
        <f t="shared" si="16"/>
        <v>0.48</v>
      </c>
      <c r="R144" s="10">
        <f t="shared" si="17"/>
        <v>0.69</v>
      </c>
      <c r="S144" s="10">
        <f t="shared" si="18"/>
        <v>0.79</v>
      </c>
      <c r="T144" s="10">
        <f t="shared" si="19"/>
        <v>0.31000000000000005</v>
      </c>
    </row>
    <row r="145" spans="1:20" x14ac:dyDescent="0.2">
      <c r="A145" s="2">
        <v>2024</v>
      </c>
      <c r="B145" s="2" t="s">
        <v>16</v>
      </c>
      <c r="C145" s="3" t="s">
        <v>18</v>
      </c>
      <c r="D145" s="17">
        <v>98</v>
      </c>
      <c r="E145" s="11">
        <v>0.33</v>
      </c>
      <c r="F145" s="7">
        <v>0.22</v>
      </c>
      <c r="G145" s="7">
        <v>0.33</v>
      </c>
      <c r="H145" s="7">
        <v>0.12</v>
      </c>
      <c r="I145" s="7">
        <v>0.17</v>
      </c>
      <c r="J145" s="8">
        <v>0.04</v>
      </c>
      <c r="K145" s="8">
        <v>0.25</v>
      </c>
      <c r="L145" s="8">
        <v>0.54</v>
      </c>
      <c r="M145" s="8">
        <v>0.09</v>
      </c>
      <c r="N145" s="9">
        <v>0.17</v>
      </c>
      <c r="O145" s="9">
        <v>0.01</v>
      </c>
      <c r="P145" s="9">
        <v>0.74</v>
      </c>
      <c r="Q145" s="10">
        <f t="shared" si="16"/>
        <v>0.45</v>
      </c>
      <c r="R145" s="10">
        <f t="shared" si="17"/>
        <v>0.79</v>
      </c>
      <c r="S145" s="10">
        <f t="shared" si="18"/>
        <v>0.75</v>
      </c>
      <c r="T145" s="10">
        <f t="shared" si="19"/>
        <v>0.3</v>
      </c>
    </row>
    <row r="146" spans="1:20" x14ac:dyDescent="0.2">
      <c r="A146" s="2">
        <v>2025</v>
      </c>
      <c r="B146" s="2" t="s">
        <v>16</v>
      </c>
      <c r="C146" s="3" t="s">
        <v>18</v>
      </c>
      <c r="D146" s="12">
        <v>89</v>
      </c>
      <c r="E146" s="7">
        <v>0.16</v>
      </c>
      <c r="F146" s="7">
        <v>0.21</v>
      </c>
      <c r="G146" s="7">
        <v>0.44</v>
      </c>
      <c r="H146" s="7">
        <v>0.19</v>
      </c>
      <c r="I146" s="8">
        <v>0.12</v>
      </c>
      <c r="J146" s="8">
        <v>0.15</v>
      </c>
      <c r="K146" s="8">
        <v>0.5</v>
      </c>
      <c r="L146" s="8">
        <v>0.23</v>
      </c>
      <c r="M146" s="6"/>
      <c r="N146" s="9">
        <v>0.03</v>
      </c>
      <c r="O146" s="9">
        <v>0.05</v>
      </c>
      <c r="P146" s="9">
        <v>0.92</v>
      </c>
      <c r="Q146" s="10">
        <f t="shared" si="16"/>
        <v>0.63</v>
      </c>
      <c r="R146" s="10">
        <f t="shared" si="17"/>
        <v>0.73</v>
      </c>
      <c r="S146" s="10">
        <f t="shared" si="18"/>
        <v>0.97000000000000008</v>
      </c>
      <c r="T146" s="10">
        <f t="shared" si="19"/>
        <v>0.34000000000000008</v>
      </c>
    </row>
    <row r="147" spans="1:20" x14ac:dyDescent="0.2">
      <c r="A147" s="2">
        <v>2026</v>
      </c>
      <c r="B147" s="2" t="s">
        <v>16</v>
      </c>
      <c r="C147" s="3" t="s">
        <v>18</v>
      </c>
      <c r="D147" s="12">
        <v>66</v>
      </c>
      <c r="E147" s="7">
        <v>0.15</v>
      </c>
      <c r="F147" s="7">
        <v>0.24</v>
      </c>
      <c r="G147" s="7">
        <v>0.54</v>
      </c>
      <c r="H147" s="7">
        <v>7.0000000000000007E-2</v>
      </c>
      <c r="I147" s="8">
        <v>0.06</v>
      </c>
      <c r="J147" s="8">
        <v>0.09</v>
      </c>
      <c r="K147" s="8">
        <v>0.36</v>
      </c>
      <c r="L147" s="8">
        <v>0.49</v>
      </c>
      <c r="M147" s="9">
        <v>0.02</v>
      </c>
      <c r="N147" s="9">
        <v>0.02</v>
      </c>
      <c r="O147" s="9">
        <v>0.17</v>
      </c>
      <c r="P147" s="9">
        <v>0.79</v>
      </c>
      <c r="Q147" s="10">
        <f t="shared" si="16"/>
        <v>0.6100000000000001</v>
      </c>
      <c r="R147" s="10">
        <f t="shared" si="17"/>
        <v>0.85</v>
      </c>
      <c r="S147" s="10">
        <f t="shared" si="18"/>
        <v>0.96000000000000008</v>
      </c>
      <c r="T147" s="10">
        <f t="shared" si="19"/>
        <v>0.35</v>
      </c>
    </row>
    <row r="148" spans="1:20" x14ac:dyDescent="0.2">
      <c r="A148" s="2">
        <v>2022</v>
      </c>
      <c r="B148" s="2" t="s">
        <v>16</v>
      </c>
      <c r="C148" s="3" t="s">
        <v>19</v>
      </c>
      <c r="D148" s="12">
        <v>96</v>
      </c>
      <c r="E148" s="7">
        <v>0.38</v>
      </c>
      <c r="F148" s="7">
        <v>0.59</v>
      </c>
      <c r="G148" s="4"/>
      <c r="H148" s="4"/>
      <c r="I148" s="8">
        <v>0.15</v>
      </c>
      <c r="J148" s="8">
        <v>0.15</v>
      </c>
      <c r="K148" s="8">
        <v>0.41</v>
      </c>
      <c r="L148" s="8">
        <v>0.28000000000000003</v>
      </c>
      <c r="M148" s="9">
        <v>0.05</v>
      </c>
      <c r="N148" s="9">
        <v>0.14000000000000001</v>
      </c>
      <c r="O148" s="9">
        <v>0.5</v>
      </c>
      <c r="P148" s="9">
        <v>0.31</v>
      </c>
      <c r="Q148" s="10">
        <f t="shared" si="16"/>
        <v>0</v>
      </c>
      <c r="R148" s="10">
        <f t="shared" si="17"/>
        <v>0.69</v>
      </c>
      <c r="S148" s="10">
        <f t="shared" si="18"/>
        <v>0.81</v>
      </c>
      <c r="T148" s="10">
        <f t="shared" si="19"/>
        <v>0.81</v>
      </c>
    </row>
    <row r="149" spans="1:20" x14ac:dyDescent="0.2">
      <c r="A149" s="2">
        <v>2023</v>
      </c>
      <c r="B149" s="2" t="s">
        <v>16</v>
      </c>
      <c r="C149" s="3" t="s">
        <v>19</v>
      </c>
      <c r="D149" s="12">
        <v>103</v>
      </c>
      <c r="E149" s="7"/>
      <c r="F149" s="7">
        <v>0.76</v>
      </c>
      <c r="G149" s="7">
        <v>0.24</v>
      </c>
      <c r="H149" s="7"/>
      <c r="I149" s="8">
        <v>0.15</v>
      </c>
      <c r="J149" s="8">
        <v>0.2</v>
      </c>
      <c r="K149" s="8">
        <v>0.33</v>
      </c>
      <c r="L149" s="8">
        <v>0.32</v>
      </c>
      <c r="M149" s="9">
        <v>0.13</v>
      </c>
      <c r="N149" s="9">
        <v>0.12</v>
      </c>
      <c r="O149" s="9">
        <v>0.35</v>
      </c>
      <c r="P149" s="9">
        <v>0.4</v>
      </c>
      <c r="Q149" s="10">
        <f t="shared" si="16"/>
        <v>0.24</v>
      </c>
      <c r="R149" s="10">
        <f t="shared" si="17"/>
        <v>0.65</v>
      </c>
      <c r="S149" s="10">
        <f t="shared" si="18"/>
        <v>0.75</v>
      </c>
      <c r="T149" s="10">
        <f t="shared" si="19"/>
        <v>0.51</v>
      </c>
    </row>
    <row r="150" spans="1:20" x14ac:dyDescent="0.2">
      <c r="A150" s="2">
        <v>2024</v>
      </c>
      <c r="B150" s="2" t="s">
        <v>16</v>
      </c>
      <c r="C150" s="3" t="s">
        <v>19</v>
      </c>
      <c r="D150" s="17">
        <v>98</v>
      </c>
      <c r="E150" s="12"/>
      <c r="F150" s="7">
        <v>0.63</v>
      </c>
      <c r="G150" s="7">
        <v>0.37</v>
      </c>
      <c r="H150" s="4"/>
      <c r="I150" s="7">
        <v>0.09</v>
      </c>
      <c r="J150" s="8">
        <v>0.11</v>
      </c>
      <c r="K150" s="8">
        <v>0.44</v>
      </c>
      <c r="L150" s="8">
        <v>0.36</v>
      </c>
      <c r="M150" s="8">
        <v>0.13</v>
      </c>
      <c r="N150" s="9">
        <v>0.11</v>
      </c>
      <c r="O150" s="9">
        <v>0.34</v>
      </c>
      <c r="P150" s="9">
        <v>0.42</v>
      </c>
      <c r="Q150" s="10">
        <f t="shared" si="16"/>
        <v>0.37</v>
      </c>
      <c r="R150" s="10">
        <f t="shared" si="17"/>
        <v>0.8</v>
      </c>
      <c r="S150" s="10">
        <f t="shared" si="18"/>
        <v>0.76</v>
      </c>
      <c r="T150" s="10">
        <f t="shared" si="19"/>
        <v>0.39</v>
      </c>
    </row>
    <row r="151" spans="1:20" x14ac:dyDescent="0.2">
      <c r="A151" s="2">
        <v>2025</v>
      </c>
      <c r="B151" s="2" t="s">
        <v>16</v>
      </c>
      <c r="C151" s="3" t="s">
        <v>19</v>
      </c>
      <c r="D151" s="12">
        <v>89</v>
      </c>
      <c r="E151" s="4"/>
      <c r="F151" s="7">
        <v>0.59</v>
      </c>
      <c r="G151" s="7">
        <v>0.41</v>
      </c>
      <c r="H151" s="4"/>
      <c r="I151" s="8">
        <v>0.01</v>
      </c>
      <c r="J151" s="8">
        <v>0.13</v>
      </c>
      <c r="K151" s="8">
        <v>0.46</v>
      </c>
      <c r="L151" s="8">
        <v>0.4</v>
      </c>
      <c r="M151" s="9">
        <v>7.0000000000000007E-2</v>
      </c>
      <c r="N151" s="9">
        <v>0.1</v>
      </c>
      <c r="O151" s="9">
        <v>0.39</v>
      </c>
      <c r="P151" s="9">
        <v>0.44</v>
      </c>
      <c r="Q151" s="10">
        <f t="shared" si="16"/>
        <v>0.41</v>
      </c>
      <c r="R151" s="10">
        <f t="shared" si="17"/>
        <v>0.8600000000000001</v>
      </c>
      <c r="S151" s="10">
        <f t="shared" si="18"/>
        <v>0.83000000000000007</v>
      </c>
      <c r="T151" s="10">
        <f t="shared" si="19"/>
        <v>0.4200000000000001</v>
      </c>
    </row>
    <row r="152" spans="1:20" x14ac:dyDescent="0.2">
      <c r="A152" s="2">
        <v>2026</v>
      </c>
      <c r="B152" s="2" t="s">
        <v>16</v>
      </c>
      <c r="C152" s="3" t="s">
        <v>19</v>
      </c>
      <c r="D152" s="12">
        <v>66</v>
      </c>
      <c r="E152" s="4"/>
      <c r="F152" s="7">
        <v>0.56999999999999995</v>
      </c>
      <c r="G152" s="7">
        <v>0.43</v>
      </c>
      <c r="H152" s="4"/>
      <c r="I152" s="8"/>
      <c r="J152" s="8">
        <v>0.04</v>
      </c>
      <c r="K152" s="8">
        <v>0.48</v>
      </c>
      <c r="L152" s="8">
        <v>0.48</v>
      </c>
      <c r="M152" s="9">
        <v>0.03</v>
      </c>
      <c r="N152" s="9">
        <v>0.03</v>
      </c>
      <c r="O152" s="9">
        <v>0.47</v>
      </c>
      <c r="P152" s="9">
        <v>0.47</v>
      </c>
      <c r="Q152" s="10">
        <f t="shared" si="16"/>
        <v>0.43</v>
      </c>
      <c r="R152" s="10">
        <f t="shared" si="17"/>
        <v>0.96</v>
      </c>
      <c r="S152" s="10">
        <f t="shared" si="18"/>
        <v>0.94</v>
      </c>
      <c r="T152" s="10">
        <f t="shared" si="19"/>
        <v>0.51</v>
      </c>
    </row>
  </sheetData>
  <sortState xmlns:xlrd2="http://schemas.microsoft.com/office/spreadsheetml/2017/richdata2" ref="A2:T152">
    <sortCondition ref="B1:B152"/>
  </sortState>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Trend Analysis</vt:lpstr>
      <vt:lpstr>Cohort Analysis</vt:lpstr>
      <vt:lpstr>Tier Movement</vt:lpstr>
      <vt:lpstr>Sheet6</vt:lpstr>
      <vt:lpstr>Historical_Master_Data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Hill, Austin Taylor</cp:lastModifiedBy>
  <dcterms:created xsi:type="dcterms:W3CDTF">2026-05-21T15:26:09Z</dcterms:created>
  <dcterms:modified xsi:type="dcterms:W3CDTF">2026-06-03T15:49:18Z</dcterms:modified>
</cp:coreProperties>
</file>